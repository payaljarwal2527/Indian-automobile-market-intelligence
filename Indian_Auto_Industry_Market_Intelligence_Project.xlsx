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yal\Downloads\"/>
    </mc:Choice>
  </mc:AlternateContent>
  <xr:revisionPtr revIDLastSave="0" documentId="8_{D41B3B11-FDA5-4CAA-B9D4-FF117B615BA9}" xr6:coauthVersionLast="47" xr6:coauthVersionMax="47" xr10:uidLastSave="{00000000-0000-0000-0000-000000000000}"/>
  <bookViews>
    <workbookView xWindow="-96" yWindow="0" windowWidth="11712" windowHeight="13776" firstSheet="1" activeTab="8" xr2:uid="{00000000-000D-0000-FFFF-FFFF00000000}"/>
  </bookViews>
  <sheets>
    <sheet name="00_Project_Guide" sheetId="1" r:id="rId1"/>
    <sheet name="01_Industry_Data" sheetId="2" r:id="rId2"/>
    <sheet name="02_EV_Transition" sheetId="3" r:id="rId3"/>
    <sheet name="03_PV_Market_Share" sheetId="4" r:id="rId4"/>
    <sheet name="04_PESTLE" sheetId="10" r:id="rId5"/>
    <sheet name="05_Porters_5_Forces" sheetId="7" r:id="rId6"/>
    <sheet name="06_key_finding" sheetId="11" r:id="rId7"/>
    <sheet name="7_dashboard" sheetId="12" r:id="rId8"/>
    <sheet name="08_Sources"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E3" i="4"/>
  <c r="E4" i="4"/>
  <c r="E5" i="4"/>
  <c r="E6" i="4"/>
  <c r="E7" i="4"/>
  <c r="C3" i="4"/>
  <c r="C4" i="4"/>
  <c r="C5" i="4"/>
  <c r="C6" i="4"/>
  <c r="C7" i="4"/>
  <c r="C2" i="4"/>
  <c r="B8" i="4"/>
  <c r="C9" i="3"/>
  <c r="D9" i="3"/>
  <c r="E9" i="3"/>
  <c r="F9" i="3"/>
  <c r="D21" i="3"/>
  <c r="D22" i="3"/>
  <c r="D23" i="3"/>
  <c r="D20" i="3"/>
  <c r="B15" i="2"/>
  <c r="B16" i="2"/>
  <c r="B17" i="2"/>
  <c r="B18" i="2"/>
  <c r="B19" i="2"/>
  <c r="C13" i="2"/>
  <c r="F12" i="2"/>
  <c r="E11" i="2"/>
  <c r="D11" i="2"/>
  <c r="C11" i="2"/>
  <c r="F10" i="2"/>
  <c r="E10" i="2"/>
  <c r="D10" i="2"/>
  <c r="C10" i="2"/>
  <c r="F13" i="2"/>
  <c r="F11" i="2"/>
  <c r="E12" i="2"/>
  <c r="E13" i="2"/>
  <c r="E9" i="2"/>
  <c r="D13" i="2"/>
  <c r="D12" i="2"/>
  <c r="C12" i="2"/>
  <c r="E8" i="2"/>
  <c r="F8" i="2"/>
  <c r="D8" i="2"/>
  <c r="C8" i="2"/>
  <c r="E6" i="2"/>
  <c r="F6" i="2"/>
  <c r="D6" i="2"/>
  <c r="C6" i="2"/>
  <c r="B6" i="2"/>
  <c r="F9" i="2"/>
  <c r="D9" i="2"/>
  <c r="C9" i="2"/>
</calcChain>
</file>

<file path=xl/sharedStrings.xml><?xml version="1.0" encoding="utf-8"?>
<sst xmlns="http://schemas.openxmlformats.org/spreadsheetml/2006/main" count="231" uniqueCount="183">
  <si>
    <t>INDIAN AUTOMOBILE INDUSTRY – MARKET INTELLIGENCE PROJECT</t>
  </si>
  <si>
    <t>CV Project Title</t>
  </si>
  <si>
    <t>Indian Automobile Industry: Market Intelligence and Competitive Analysis</t>
  </si>
  <si>
    <t>Primary Tools</t>
  </si>
  <si>
    <t>Excel + PowerPoint</t>
  </si>
  <si>
    <t>Core Period</t>
  </si>
  <si>
    <t>FY 2020-21 to FY 2024-25 (five financial years)</t>
  </si>
  <si>
    <t>Main Objective</t>
  </si>
  <si>
    <t>Study industry growth, vehicle segments, EV transition, passenger-vehicle competition and strategic drivers.</t>
  </si>
  <si>
    <t>PROJECT WORKFLOW</t>
  </si>
  <si>
    <t>1</t>
  </si>
  <si>
    <t>Define scope and research question</t>
  </si>
  <si>
    <t>2</t>
  </si>
  <si>
    <t>Collect data from credible sources</t>
  </si>
  <si>
    <t>3</t>
  </si>
  <si>
    <t>Enter raw data without changing source values</t>
  </si>
  <si>
    <t>4</t>
  </si>
  <si>
    <t>Calculate YoY growth, CAGR and market share</t>
  </si>
  <si>
    <t>5</t>
  </si>
  <si>
    <t>Build charts</t>
  </si>
  <si>
    <t>6</t>
  </si>
  <si>
    <t>Apply PESTLE and Porter's Five Forces</t>
  </si>
  <si>
    <t>7</t>
  </si>
  <si>
    <t>Create Excel dashboard</t>
  </si>
  <si>
    <t>8</t>
  </si>
  <si>
    <t>Create 6–8 slide PowerPoint</t>
  </si>
  <si>
    <t>9</t>
  </si>
  <si>
    <t>Write 45–60 second interview explanation</t>
  </si>
  <si>
    <t>10</t>
  </si>
  <si>
    <t>Validate every important number and add source/date</t>
  </si>
  <si>
    <t>IMPORTANT DATA RULE</t>
  </si>
  <si>
    <t>Keep financial-year data separate from calendar-year data. Do not mix FY and CY in one calculation.</t>
  </si>
  <si>
    <t>SOURCE PRIORITY</t>
  </si>
  <si>
    <t>1. SIAM / Government  2. Company annual reports  3. FADA / Vahan  4. Reputable industry research</t>
  </si>
  <si>
    <t>DELIVERABLES</t>
  </si>
  <si>
    <t>Excel workbook + PowerPoint deck + 1-page project notes/interview script</t>
  </si>
  <si>
    <t>Metric</t>
  </si>
  <si>
    <t>FY 2020-21</t>
  </si>
  <si>
    <t>FY 2021-22</t>
  </si>
  <si>
    <t>FY 2022-23</t>
  </si>
  <si>
    <t>FY 2023-24</t>
  </si>
  <si>
    <t>FY 2024-25</t>
  </si>
  <si>
    <t>Source / Note</t>
  </si>
  <si>
    <t>Passenger Vehicles</t>
  </si>
  <si>
    <t>SIAM domestic sales trends</t>
  </si>
  <si>
    <t>Commercial Vehicles</t>
  </si>
  <si>
    <t>Three Wheelers</t>
  </si>
  <si>
    <t>Two Wheelers</t>
  </si>
  <si>
    <t>Grand Total</t>
  </si>
  <si>
    <t>YoY Growth – Grand Total</t>
  </si>
  <si>
    <t>N/A</t>
  </si>
  <si>
    <t>Formula: (Current/Previous)-1</t>
  </si>
  <si>
    <t>YoY Growth – Passenger Vehicles</t>
  </si>
  <si>
    <t>5-year CAGR uses FY20-21 to FY24-25</t>
  </si>
  <si>
    <t>Segment</t>
  </si>
  <si>
    <t>Source</t>
  </si>
  <si>
    <t>Passenger Vehicles EV share</t>
  </si>
  <si>
    <t>Commercial Vehicles EV share</t>
  </si>
  <si>
    <t>Three-Wheelers EV share</t>
  </si>
  <si>
    <t>Two-Wheelers EV share</t>
  </si>
  <si>
    <t>OEM</t>
  </si>
  <si>
    <t>Maruti Suzuki</t>
  </si>
  <si>
    <t>Mahindra &amp; Mahindra</t>
  </si>
  <si>
    <t>Tata Motors</t>
  </si>
  <si>
    <t>Hyundai Motor India</t>
  </si>
  <si>
    <t>Toyota Kirloskar</t>
  </si>
  <si>
    <t>Kia India</t>
  </si>
  <si>
    <t>FY2024-25</t>
  </si>
  <si>
    <t>Force</t>
  </si>
  <si>
    <t>What to examine</t>
  </si>
  <si>
    <t>Competitive rivalry</t>
  </si>
  <si>
    <t>Number of OEMs, market concentration, product launches, price competition</t>
  </si>
  <si>
    <t>Threat of new entrants</t>
  </si>
  <si>
    <t>Capital needs, brand, distribution, technology, regulation</t>
  </si>
  <si>
    <t>Batteries, semiconductors, raw materials, component concentration</t>
  </si>
  <si>
    <t>Choice, price sensitivity, financing, switching costs</t>
  </si>
  <si>
    <t>Threat of substitutes</t>
  </si>
  <si>
    <t>Public transport, ride-hailing, used vehicles, alternative mobility</t>
  </si>
  <si>
    <t>What to use it for</t>
  </si>
  <si>
    <t>Period / Date</t>
  </si>
  <si>
    <t>Notes</t>
  </si>
  <si>
    <t>SIAM – Industry Trends / Annual Reports</t>
  </si>
  <si>
    <t>Industry domestic sales by segment</t>
  </si>
  <si>
    <t>FY2020-21 to FY2024-25</t>
  </si>
  <si>
    <t>Primary source for industry volume trends</t>
  </si>
  <si>
    <t>Ministry of Heavy Industries / PIB</t>
  </si>
  <si>
    <t>EV share by segment and EV policy context</t>
  </si>
  <si>
    <t>Use official government data for EV transition</t>
  </si>
  <si>
    <t>FADA CY25 Vehicle Retail Data</t>
  </si>
  <si>
    <t>Passenger vehicle OEM market share</t>
  </si>
  <si>
    <t>Calendar 2024 and 2025</t>
  </si>
  <si>
    <t>Keep calendar-year data separate from FY data</t>
  </si>
  <si>
    <t>Tata Motors FY25 Annual Report / results</t>
  </si>
  <si>
    <t>Revenue, PAT, PV financial/operational metrics</t>
  </si>
  <si>
    <t>Primary company source</t>
  </si>
  <si>
    <t>Mahindra &amp; Mahindra FY25 Integrated Annual Report</t>
  </si>
  <si>
    <t>Revenue, PAT, Auto segment and strategy</t>
  </si>
  <si>
    <t>Maruti Suzuki annual reports</t>
  </si>
  <si>
    <t>Revenue, PAT, sales volume</t>
  </si>
  <si>
    <t>Hyundai Motor India annual reports</t>
  </si>
  <si>
    <t>Vahan / MoRTH</t>
  </si>
  <si>
    <t>EV registrations and retail vehicle data</t>
  </si>
  <si>
    <t>Use consistent extraction</t>
  </si>
  <si>
    <t>Validate definition and coverage before final dashboard</t>
  </si>
  <si>
    <t>SIAM Annual Report 2024-25- Domestic Sale</t>
  </si>
  <si>
    <t>Three- Wheelers</t>
  </si>
  <si>
    <t>CAGR</t>
  </si>
  <si>
    <t>VALUE</t>
  </si>
  <si>
    <t>SIAM – EV Share in Overall Registration</t>
  </si>
  <si>
    <t>change</t>
  </si>
  <si>
    <t>Registered Evs</t>
  </si>
  <si>
    <t>EV YOY growth percentage</t>
  </si>
  <si>
    <t>Financial Year</t>
  </si>
  <si>
    <t>Registered EVs (Lakh)</t>
  </si>
  <si>
    <t>FY2020-21</t>
  </si>
  <si>
    <t>FY2021-22</t>
  </si>
  <si>
    <t>FY2022-23</t>
  </si>
  <si>
    <t>FY2023-24</t>
  </si>
  <si>
    <t>FY 2024-25 PV retail Sales</t>
  </si>
  <si>
    <t>Total PV industry</t>
  </si>
  <si>
    <t xml:space="preserve">total six companies  </t>
  </si>
  <si>
    <t xml:space="preserve"> FY2025 Market Share</t>
  </si>
  <si>
    <t>FY2024 market share</t>
  </si>
  <si>
    <t>share change(pp)</t>
  </si>
  <si>
    <t>PESTLE Factor</t>
  </si>
  <si>
    <t>key issue</t>
  </si>
  <si>
    <t>impact on automobile industry</t>
  </si>
  <si>
    <t>evidence/source</t>
  </si>
  <si>
    <t>political</t>
  </si>
  <si>
    <t>economic</t>
  </si>
  <si>
    <t>social</t>
  </si>
  <si>
    <t>technological</t>
  </si>
  <si>
    <t>legal</t>
  </si>
  <si>
    <t>environmental</t>
  </si>
  <si>
    <t>Government support for domestic automotive manufacturing and EV adoption</t>
  </si>
  <si>
    <t>Government incentives can influence domestic manufacturing, investment, localisation and the adoption of advanced automotive technologies, including EVs.</t>
  </si>
  <si>
    <t>PLI-Auto and PM E-DRIVE schemes — Ministry of Heavy Industries</t>
  </si>
  <si>
    <t>Economic growth, interest rates, inflation and vehicle financing conditions</t>
  </si>
  <si>
    <t>Economic growth and household purchasing power influence vehicle demand, while interest rates affect the affordability and cost of vehicle financing. Inflation and fuel prices can also affect consumers' willingness to purchase and operate vehicles.</t>
  </si>
  <si>
    <t>RBI — Automobile demand and macroeconomic conditions</t>
  </si>
  <si>
    <t>Changing consumer preferences, urbanisation and mobility needs</t>
  </si>
  <si>
    <t>Urbanisation, changing lifestyles, rising aspirations and evolving mobility preferences influence vehicle ownership, vehicle type preferences and demand for personal and shared mobility.</t>
  </si>
  <si>
    <t>Government of India — Population and urbanisation trends; SIAM — Industry trends</t>
  </si>
  <si>
    <t>EV technology, battery technology and connected-vehicle innovation</t>
  </si>
  <si>
    <t>Advances in batteries, electric powertrains, charging infrastructure and connected-vehicle technologies are changing vehicle design, manufacturing requirements and competition across the automotive industry.</t>
  </si>
  <si>
    <t>Ministry of Heavy Industries — PM E-DRIVE; PLI-Auto</t>
  </si>
  <si>
    <t>Vehicle safety, emission standards and regulatory compliance</t>
  </si>
  <si>
    <t>Changes in safety and emission regulations can increase compliance requirements, affect vehicle design and manufacturing costs, and influence the technologies adopted by automobile manufacturers.</t>
  </si>
  <si>
    <t>Government of India — Ministry of Road Transport &amp; Highways; Central Motor Vehicle Rules</t>
  </si>
  <si>
    <t>Emission reduction, climate objectives and transition toward cleaner mobility</t>
  </si>
  <si>
    <t>Environmental objectives are increasing the importance of lower-emission vehicles and cleaner mobility, encouraging manufacturers to invest in EVs, energy-efficient technologies and lower-carbon production processes.</t>
  </si>
  <si>
    <t>Government of India — National Electric Mobility Mission Plan; PM E-DRIVE</t>
  </si>
  <si>
    <t>bargaining power of suppliers</t>
  </si>
  <si>
    <t>bargaining power of buyers</t>
  </si>
  <si>
    <t>industry impact</t>
  </si>
  <si>
    <t>Strong competition for market share and customers</t>
  </si>
  <si>
    <t>New entrants face significant investment and scale challenges</t>
  </si>
  <si>
    <t>Supply disruptions and dependence on specialised components can affect costs and production</t>
  </si>
  <si>
    <t>Buyers can compare price, features, technology and financing options</t>
  </si>
  <si>
    <t>Alternative mobility options can reduce demand for private vehicle ownership in some use cases</t>
  </si>
  <si>
    <t>finding</t>
  </si>
  <si>
    <t>evidence</t>
  </si>
  <si>
    <t>Industry recovery and moderation</t>
  </si>
  <si>
    <t>Passenger vehicle growth</t>
  </si>
  <si>
    <t>EV adoption</t>
  </si>
  <si>
    <t>Segment differences in EV adoption</t>
  </si>
  <si>
    <t>Competitive structure</t>
  </si>
  <si>
    <t>Market-share movement</t>
  </si>
  <si>
    <t>Indian automobile sales recovered strongly after FY2021-22, but overall growth moderated from 20.4% in FY2022-23 to 7.3% in FY2024-25.</t>
  </si>
  <si>
    <t>Passenger vehicles recorded a FY2021-25 CAGR of 12.2%, while FY2024-25 YoY growth moderated to 2.0%.</t>
  </si>
  <si>
    <t>Registered EVs increased from 1.43 lakh in FY2020-21 to 19.68 lakh in FY2024-25, while annual growth moderated over the period.</t>
  </si>
  <si>
    <t>Three-wheelers showed a 25.7 percentage-point increase in EV penetration, compared with 2.4 percentage points for passenger vehicles.</t>
  </si>
  <si>
    <t>Maruti Suzuki accounted for 40.25% of FY2024-25 PV retail sales in the FADA dataset, while Hyundai, Tata and Mahindra each accounted for more than 12%.</t>
  </si>
  <si>
    <t>In FY2024-25, Mahindra and Toyota recorded increases in market share relative to FY2023-24, while Maruti, Hyundai and Tata recorded declines.</t>
  </si>
  <si>
    <t>INDIAN AUTOMOBILE INDUSTRY
Market Intelligence &amp; Competitive Analysis | FY2020-21 to FY2024-25</t>
  </si>
  <si>
    <t>INDUSTRY CAGR 8.3%</t>
  </si>
  <si>
    <t>PV CAGR 12.2%</t>
  </si>
  <si>
    <t>FY25 EV REGISTR. 19.68 LAKH</t>
  </si>
  <si>
    <t>MARUTI PV SHARE 40.25%</t>
  </si>
  <si>
    <t>KEY INSIGHTS</t>
  </si>
  <si>
    <t>* INDUSTRY GROWTH MODERATED</t>
  </si>
  <si>
    <t>*COMPETITIVE STRUCTURE</t>
  </si>
  <si>
    <t>*EV REGISTRATIONS INCREASED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</si>
</sst>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4"/>
      <color rgb="FFFFFFFF"/>
      <name val="Calibri"/>
    </font>
    <font>
      <b/>
      <sz val="11"/>
      <color rgb="FFFFFFFF"/>
      <name val="Calibri"/>
    </font>
    <font>
      <b/>
      <sz val="11"/>
      <name val="Calibri"/>
    </font>
    <font>
      <sz val="11"/>
      <color theme="1"/>
      <name val="Calibri"/>
      <family val="2"/>
      <scheme val="minor"/>
    </font>
    <font>
      <sz val="11"/>
      <color theme="0"/>
      <name val="Calibri"/>
      <family val="2"/>
      <scheme val="minor"/>
    </font>
    <font>
      <sz val="8"/>
      <name val="Calibri"/>
      <family val="2"/>
      <scheme val="minor"/>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theme="4"/>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top/>
      <bottom/>
      <diagonal/>
    </border>
  </borders>
  <cellStyleXfs count="3">
    <xf numFmtId="0" fontId="0" fillId="0" borderId="0"/>
    <xf numFmtId="9" fontId="4" fillId="0" borderId="0" applyFont="0" applyFill="0" applyBorder="0" applyAlignment="0" applyProtection="0"/>
    <xf numFmtId="0" fontId="5" fillId="5" borderId="0" applyNumberFormat="0" applyBorder="0" applyAlignment="0" applyProtection="0"/>
  </cellStyleXfs>
  <cellXfs count="2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2" borderId="0" xfId="0" applyFont="1" applyFill="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2" fillId="2"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164" fontId="0" fillId="4" borderId="1" xfId="0" applyNumberFormat="1" applyFill="1" applyBorder="1" applyAlignment="1">
      <alignment vertical="top" wrapText="1"/>
    </xf>
    <xf numFmtId="164" fontId="0" fillId="0" borderId="1" xfId="0" applyNumberFormat="1" applyBorder="1" applyAlignment="1">
      <alignment vertical="top" wrapText="1"/>
    </xf>
    <xf numFmtId="10" fontId="0" fillId="0" borderId="1" xfId="0" applyNumberFormat="1" applyBorder="1" applyAlignment="1">
      <alignment vertical="top" wrapText="1"/>
    </xf>
    <xf numFmtId="2" fontId="0" fillId="0" borderId="1" xfId="0" applyNumberFormat="1" applyBorder="1" applyAlignment="1">
      <alignment vertical="top" wrapText="1"/>
    </xf>
    <xf numFmtId="164" fontId="0" fillId="0" borderId="0" xfId="0" applyNumberFormat="1"/>
    <xf numFmtId="0" fontId="0" fillId="4" borderId="2" xfId="0" applyFill="1" applyBorder="1" applyAlignment="1">
      <alignment vertical="top" wrapText="1"/>
    </xf>
    <xf numFmtId="164" fontId="0" fillId="4" borderId="2" xfId="0" applyNumberFormat="1" applyFill="1" applyBorder="1" applyAlignment="1">
      <alignment vertical="top" wrapText="1"/>
    </xf>
    <xf numFmtId="0" fontId="2" fillId="2" borderId="2" xfId="0" applyFont="1" applyFill="1" applyBorder="1" applyAlignment="1">
      <alignment vertical="top" wrapText="1"/>
    </xf>
    <xf numFmtId="9" fontId="0" fillId="0" borderId="1" xfId="1" applyFont="1" applyBorder="1" applyAlignment="1">
      <alignment vertical="top" wrapText="1"/>
    </xf>
    <xf numFmtId="164" fontId="0" fillId="0" borderId="1" xfId="1" applyNumberFormat="1" applyFont="1" applyBorder="1" applyAlignment="1">
      <alignment vertical="top" wrapText="1"/>
    </xf>
    <xf numFmtId="10" fontId="0" fillId="0" borderId="0" xfId="0" applyNumberFormat="1" applyFill="1" applyBorder="1" applyAlignment="1">
      <alignment vertical="top" wrapText="1"/>
    </xf>
    <xf numFmtId="10" fontId="0" fillId="0" borderId="3" xfId="0" applyNumberFormat="1" applyFill="1" applyBorder="1" applyAlignment="1">
      <alignment vertical="top" wrapText="1"/>
    </xf>
    <xf numFmtId="0" fontId="0" fillId="0" borderId="2" xfId="0" applyFill="1" applyBorder="1" applyAlignment="1">
      <alignment vertical="top" wrapText="1"/>
    </xf>
    <xf numFmtId="0" fontId="5" fillId="5" borderId="0" xfId="2"/>
    <xf numFmtId="0" fontId="0" fillId="0" borderId="0" xfId="0" applyAlignment="1">
      <alignment wrapText="1"/>
    </xf>
  </cellXfs>
  <cellStyles count="3">
    <cellStyle name="Accent1" xfId="2" builtinId="29"/>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INDIAN AUTOMOBILE INDUSTRY SALE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'01_Industry_Data'!$A$2</c:f>
              <c:strCache>
                <c:ptCount val="1"/>
                <c:pt idx="0">
                  <c:v>Passenger Vehicles</c:v>
                </c:pt>
              </c:strCache>
            </c:strRef>
          </c:tx>
          <c:spPr>
            <a:ln w="28575" cap="rnd">
              <a:solidFill>
                <a:schemeClr val="accent1"/>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'01_Industry_Data'!$B$2:$F$2</c:f>
              <c:numCache>
                <c:formatCode>General</c:formatCode>
                <c:ptCount val="5"/>
                <c:pt idx="0">
                  <c:v>2711457</c:v>
                </c:pt>
                <c:pt idx="1">
                  <c:v>3069523</c:v>
                </c:pt>
                <c:pt idx="2">
                  <c:v>3890114</c:v>
                </c:pt>
                <c:pt idx="3">
                  <c:v>4218750</c:v>
                </c:pt>
                <c:pt idx="4">
                  <c:v>4301848</c:v>
                </c:pt>
              </c:numCache>
            </c:numRef>
          </c:val>
          <c:smooth val="0"/>
          <c:extLst>
            <c:ext xmlns:c16="http://schemas.microsoft.com/office/drawing/2014/chart" uri="{C3380CC4-5D6E-409C-BE32-E72D297353CC}">
              <c16:uniqueId val="{00000000-CFF1-4E96-8016-FF3274A04FE0}"/>
            </c:ext>
          </c:extLst>
        </c:ser>
        <c:ser>
          <c:idx val="1"/>
          <c:order val="1"/>
          <c:tx>
            <c:strRef>
              <c:f>'01_Industry_Data'!$A$3</c:f>
              <c:strCache>
                <c:ptCount val="1"/>
                <c:pt idx="0">
                  <c:v>Commercial Vehicles</c:v>
                </c:pt>
              </c:strCache>
            </c:strRef>
          </c:tx>
          <c:spPr>
            <a:ln w="28575" cap="rnd">
              <a:solidFill>
                <a:schemeClr val="accent2"/>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'01_Industry_Data'!$B$3:$F$3</c:f>
              <c:numCache>
                <c:formatCode>General</c:formatCode>
                <c:ptCount val="5"/>
                <c:pt idx="0">
                  <c:v>568559</c:v>
                </c:pt>
                <c:pt idx="1">
                  <c:v>716566</c:v>
                </c:pt>
                <c:pt idx="2">
                  <c:v>962468</c:v>
                </c:pt>
                <c:pt idx="3">
                  <c:v>968770</c:v>
                </c:pt>
                <c:pt idx="4">
                  <c:v>956671</c:v>
                </c:pt>
              </c:numCache>
            </c:numRef>
          </c:val>
          <c:smooth val="0"/>
          <c:extLst>
            <c:ext xmlns:c16="http://schemas.microsoft.com/office/drawing/2014/chart" uri="{C3380CC4-5D6E-409C-BE32-E72D297353CC}">
              <c16:uniqueId val="{00000001-CFF1-4E96-8016-FF3274A04FE0}"/>
            </c:ext>
          </c:extLst>
        </c:ser>
        <c:ser>
          <c:idx val="2"/>
          <c:order val="2"/>
          <c:tx>
            <c:strRef>
              <c:f>'01_Industry_Data'!$A$4</c:f>
              <c:strCache>
                <c:ptCount val="1"/>
                <c:pt idx="0">
                  <c:v>Three Wheelers</c:v>
                </c:pt>
              </c:strCache>
            </c:strRef>
          </c:tx>
          <c:spPr>
            <a:ln w="28575" cap="rnd">
              <a:solidFill>
                <a:schemeClr val="accent3"/>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'01_Industry_Data'!$B$4:$F$4</c:f>
              <c:numCache>
                <c:formatCode>General</c:formatCode>
                <c:ptCount val="5"/>
                <c:pt idx="0">
                  <c:v>219446</c:v>
                </c:pt>
                <c:pt idx="1">
                  <c:v>261385</c:v>
                </c:pt>
                <c:pt idx="2">
                  <c:v>489562</c:v>
                </c:pt>
                <c:pt idx="3">
                  <c:v>693446</c:v>
                </c:pt>
                <c:pt idx="4">
                  <c:v>741420</c:v>
                </c:pt>
              </c:numCache>
            </c:numRef>
          </c:val>
          <c:smooth val="0"/>
          <c:extLst>
            <c:ext xmlns:c16="http://schemas.microsoft.com/office/drawing/2014/chart" uri="{C3380CC4-5D6E-409C-BE32-E72D297353CC}">
              <c16:uniqueId val="{00000002-CFF1-4E96-8016-FF3274A04FE0}"/>
            </c:ext>
          </c:extLst>
        </c:ser>
        <c:ser>
          <c:idx val="3"/>
          <c:order val="3"/>
          <c:tx>
            <c:strRef>
              <c:f>'01_Industry_Data'!$A$5</c:f>
              <c:strCache>
                <c:ptCount val="1"/>
                <c:pt idx="0">
                  <c:v>Two Wheelers</c:v>
                </c:pt>
              </c:strCache>
            </c:strRef>
          </c:tx>
          <c:spPr>
            <a:ln w="28575" cap="rnd">
              <a:solidFill>
                <a:schemeClr val="accent4"/>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'01_Industry_Data'!$B$5:$F$5</c:f>
              <c:numCache>
                <c:formatCode>General</c:formatCode>
                <c:ptCount val="5"/>
                <c:pt idx="0">
                  <c:v>15121402</c:v>
                </c:pt>
                <c:pt idx="1">
                  <c:v>13570682</c:v>
                </c:pt>
                <c:pt idx="2">
                  <c:v>15862886</c:v>
                </c:pt>
                <c:pt idx="3">
                  <c:v>17974582</c:v>
                </c:pt>
                <c:pt idx="4">
                  <c:v>19607332</c:v>
                </c:pt>
              </c:numCache>
            </c:numRef>
          </c:val>
          <c:smooth val="0"/>
          <c:extLst>
            <c:ext xmlns:c16="http://schemas.microsoft.com/office/drawing/2014/chart" uri="{C3380CC4-5D6E-409C-BE32-E72D297353CC}">
              <c16:uniqueId val="{00000003-CFF1-4E96-8016-FF3274A04FE0}"/>
            </c:ext>
          </c:extLst>
        </c:ser>
        <c:ser>
          <c:idx val="4"/>
          <c:order val="4"/>
          <c:tx>
            <c:strRef>
              <c:f>'01_Industry_Data'!$A$6</c:f>
              <c:strCache>
                <c:ptCount val="1"/>
                <c:pt idx="0">
                  <c:v>Grand Total</c:v>
                </c:pt>
              </c:strCache>
            </c:strRef>
          </c:tx>
          <c:spPr>
            <a:ln w="28575" cap="rnd">
              <a:solidFill>
                <a:schemeClr val="accent5"/>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'01_Industry_Data'!$B$6:$F$6</c:f>
              <c:numCache>
                <c:formatCode>General</c:formatCode>
                <c:ptCount val="5"/>
                <c:pt idx="0">
                  <c:v>18620864</c:v>
                </c:pt>
                <c:pt idx="1">
                  <c:v>17618156</c:v>
                </c:pt>
                <c:pt idx="2">
                  <c:v>21205030</c:v>
                </c:pt>
                <c:pt idx="3">
                  <c:v>23855548</c:v>
                </c:pt>
                <c:pt idx="4">
                  <c:v>25607271</c:v>
                </c:pt>
              </c:numCache>
            </c:numRef>
          </c:val>
          <c:smooth val="0"/>
          <c:extLst>
            <c:ext xmlns:c16="http://schemas.microsoft.com/office/drawing/2014/chart" uri="{C3380CC4-5D6E-409C-BE32-E72D297353CC}">
              <c16:uniqueId val="{00000004-CFF1-4E96-8016-FF3274A04FE0}"/>
            </c:ext>
          </c:extLst>
        </c:ser>
        <c:dLbls>
          <c:showLegendKey val="0"/>
          <c:showVal val="0"/>
          <c:showCatName val="0"/>
          <c:showSerName val="0"/>
          <c:showPercent val="0"/>
          <c:showBubbleSize val="0"/>
        </c:dLbls>
        <c:smooth val="0"/>
        <c:axId val="1456203679"/>
        <c:axId val="1037654031"/>
      </c:lineChart>
      <c:catAx>
        <c:axId val="145620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54031"/>
        <c:crosses val="autoZero"/>
        <c:auto val="1"/>
        <c:lblAlgn val="ctr"/>
        <c:lblOffset val="100"/>
        <c:noMultiLvlLbl val="0"/>
      </c:catAx>
      <c:valAx>
        <c:axId val="1037654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VEHICLES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20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 in Registered Electric Vehicles in India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119044863119567"/>
          <c:y val="9.901712748559939E-2"/>
          <c:w val="0.89880955136880436"/>
          <c:h val="0.79872204597110563"/>
        </c:manualLayout>
      </c:layout>
      <c:lineChart>
        <c:grouping val="standard"/>
        <c:varyColors val="0"/>
        <c:ser>
          <c:idx val="0"/>
          <c:order val="0"/>
          <c:spPr>
            <a:ln w="28575" cap="rnd">
              <a:solidFill>
                <a:schemeClr val="accent1"/>
              </a:solidFill>
              <a:round/>
            </a:ln>
            <a:effectLst/>
          </c:spPr>
          <c:marker>
            <c:symbol val="none"/>
          </c:marker>
          <c:cat>
            <c:strRef>
              <c:f>'02_EV_Transition'!$H$2:$H$6</c:f>
              <c:strCache>
                <c:ptCount val="5"/>
                <c:pt idx="0">
                  <c:v>FY2020-21</c:v>
                </c:pt>
                <c:pt idx="1">
                  <c:v>FY2021-22</c:v>
                </c:pt>
                <c:pt idx="2">
                  <c:v>FY2022-23</c:v>
                </c:pt>
                <c:pt idx="3">
                  <c:v>FY2023-24</c:v>
                </c:pt>
                <c:pt idx="4">
                  <c:v>FY2024-25</c:v>
                </c:pt>
              </c:strCache>
            </c:strRef>
          </c:cat>
          <c:val>
            <c:numRef>
              <c:f>'02_EV_Transition'!$I$2:$I$6</c:f>
              <c:numCache>
                <c:formatCode>0.00%</c:formatCode>
                <c:ptCount val="5"/>
                <c:pt idx="0">
                  <c:v>1.43E-2</c:v>
                </c:pt>
                <c:pt idx="1">
                  <c:v>4.5899999999999996E-2</c:v>
                </c:pt>
                <c:pt idx="2">
                  <c:v>0.1183</c:v>
                </c:pt>
                <c:pt idx="3">
                  <c:v>0.1681</c:v>
                </c:pt>
                <c:pt idx="4">
                  <c:v>0.1968</c:v>
                </c:pt>
              </c:numCache>
            </c:numRef>
          </c:val>
          <c:smooth val="0"/>
          <c:extLst>
            <c:ext xmlns:c16="http://schemas.microsoft.com/office/drawing/2014/chart" uri="{C3380CC4-5D6E-409C-BE32-E72D297353CC}">
              <c16:uniqueId val="{00000000-585B-4571-8966-2A659F9EACFD}"/>
            </c:ext>
          </c:extLst>
        </c:ser>
        <c:dLbls>
          <c:showLegendKey val="0"/>
          <c:showVal val="0"/>
          <c:showCatName val="0"/>
          <c:showSerName val="0"/>
          <c:showPercent val="0"/>
          <c:showBubbleSize val="0"/>
        </c:dLbls>
        <c:smooth val="0"/>
        <c:axId val="1025446975"/>
        <c:axId val="1037646831"/>
      </c:lineChart>
      <c:catAx>
        <c:axId val="1025446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Financial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46831"/>
        <c:crosses val="autoZero"/>
        <c:auto val="1"/>
        <c:lblAlgn val="ctr"/>
        <c:lblOffset val="100"/>
        <c:noMultiLvlLbl val="0"/>
      </c:catAx>
      <c:valAx>
        <c:axId val="1037646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Registered EVs (Lakh)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4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'03_PV_Market_Share'!$C$1</c:f>
              <c:strCache>
                <c:ptCount val="1"/>
                <c:pt idx="0">
                  <c:v> FY2025 Market Share</c:v>
                </c:pt>
              </c:strCache>
            </c:strRef>
          </c:tx>
          <c:spPr>
            <a:solidFill>
              <a:schemeClr val="accent1"/>
            </a:solidFill>
            <a:ln>
              <a:noFill/>
            </a:ln>
            <a:effectLst/>
          </c:spPr>
          <c:invertIfNegative val="0"/>
          <c:val>
            <c:numRef>
              <c:f>'03_PV_Market_Share'!$C$2:$C$7</c:f>
              <c:numCache>
                <c:formatCode>0.00%</c:formatCode>
                <c:ptCount val="6"/>
                <c:pt idx="0">
                  <c:v>0.4024524778544587</c:v>
                </c:pt>
                <c:pt idx="1">
                  <c:v>0.13462336689272872</c:v>
                </c:pt>
                <c:pt idx="2">
                  <c:v>0.12904027320057243</c:v>
                </c:pt>
                <c:pt idx="3">
                  <c:v>0.12342226862026391</c:v>
                </c:pt>
                <c:pt idx="4">
                  <c:v>6.6370413672355771E-2</c:v>
                </c:pt>
                <c:pt idx="5">
                  <c:v>5.8231120673216751E-2</c:v>
                </c:pt>
              </c:numCache>
            </c:numRef>
          </c:val>
          <c:extLst>
            <c:ext xmlns:c16="http://schemas.microsoft.com/office/drawing/2014/chart" uri="{C3380CC4-5D6E-409C-BE32-E72D297353CC}">
              <c16:uniqueId val="{00000000-0A23-4503-BFED-F2D3F059FD5E}"/>
            </c:ext>
          </c:extLst>
        </c:ser>
        <c:dLbls>
          <c:showLegendKey val="0"/>
          <c:showVal val="0"/>
          <c:showCatName val="0"/>
          <c:showSerName val="0"/>
          <c:showPercent val="0"/>
          <c:showBubbleSize val="0"/>
        </c:dLbls>
        <c:gapWidth val="219"/>
        <c:overlap val="-27"/>
        <c:axId val="1457510847"/>
        <c:axId val="1037653071"/>
      </c:barChart>
      <c:catAx>
        <c:axId val="1457510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OEM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53071"/>
        <c:crosses val="autoZero"/>
        <c:auto val="1"/>
        <c:lblAlgn val="ctr"/>
        <c:lblOffset val="100"/>
        <c:noMultiLvlLbl val="0"/>
      </c:catAx>
      <c:valAx>
        <c:axId val="1037653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markeet share(%)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51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 in Registered Electric Vehicles in India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53721315462751"/>
          <c:y val="8.9249161529266555E-2"/>
          <c:w val="0.85262211692280865"/>
          <c:h val="0.74107478363377177"/>
        </c:manualLayout>
      </c:layout>
      <c:lineChart>
        <c:grouping val="standard"/>
        <c:varyColors val="0"/>
        <c:ser>
          <c:idx val="0"/>
          <c:order val="0"/>
          <c:spPr>
            <a:ln w="28575" cap="rnd">
              <a:solidFill>
                <a:schemeClr val="accent1"/>
              </a:solidFill>
              <a:round/>
            </a:ln>
            <a:effectLst/>
          </c:spPr>
          <c:marker>
            <c:symbol val="none"/>
          </c:marker>
          <c:cat>
            <c:strRef>
              <c:f>'02_EV_Transition'!$H$2:$H$6</c:f>
              <c:strCache>
                <c:ptCount val="5"/>
                <c:pt idx="0">
                  <c:v>FY2020-21</c:v>
                </c:pt>
                <c:pt idx="1">
                  <c:v>FY2021-22</c:v>
                </c:pt>
                <c:pt idx="2">
                  <c:v>FY2022-23</c:v>
                </c:pt>
                <c:pt idx="3">
                  <c:v>FY2023-24</c:v>
                </c:pt>
                <c:pt idx="4">
                  <c:v>FY2024-25</c:v>
                </c:pt>
              </c:strCache>
            </c:strRef>
          </c:cat>
          <c:val>
            <c:numRef>
              <c:f>'02_EV_Transition'!$I$2:$I$6</c:f>
              <c:numCache>
                <c:formatCode>0.00%</c:formatCode>
                <c:ptCount val="5"/>
                <c:pt idx="0">
                  <c:v>1.43E-2</c:v>
                </c:pt>
                <c:pt idx="1">
                  <c:v>4.5899999999999996E-2</c:v>
                </c:pt>
                <c:pt idx="2">
                  <c:v>0.1183</c:v>
                </c:pt>
                <c:pt idx="3">
                  <c:v>0.1681</c:v>
                </c:pt>
                <c:pt idx="4">
                  <c:v>0.1968</c:v>
                </c:pt>
              </c:numCache>
            </c:numRef>
          </c:val>
          <c:smooth val="0"/>
          <c:extLst>
            <c:ext xmlns:c16="http://schemas.microsoft.com/office/drawing/2014/chart" uri="{C3380CC4-5D6E-409C-BE32-E72D297353CC}">
              <c16:uniqueId val="{00000000-0EBE-4308-9507-C112FFE69E05}"/>
            </c:ext>
          </c:extLst>
        </c:ser>
        <c:dLbls>
          <c:showLegendKey val="0"/>
          <c:showVal val="0"/>
          <c:showCatName val="0"/>
          <c:showSerName val="0"/>
          <c:showPercent val="0"/>
          <c:showBubbleSize val="0"/>
        </c:dLbls>
        <c:smooth val="0"/>
        <c:axId val="1025446975"/>
        <c:axId val="1037646831"/>
      </c:lineChart>
      <c:catAx>
        <c:axId val="1025446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Financial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46831"/>
        <c:crosses val="autoZero"/>
        <c:auto val="1"/>
        <c:lblAlgn val="ctr"/>
        <c:lblOffset val="100"/>
        <c:noMultiLvlLbl val="0"/>
      </c:catAx>
      <c:valAx>
        <c:axId val="1037646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Registered EVs (Lakh)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4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'03_PV_Market_Share'!$C$1</c:f>
              <c:strCache>
                <c:ptCount val="1"/>
                <c:pt idx="0">
                  <c:v> FY2025 Market Share</c:v>
                </c:pt>
              </c:strCache>
            </c:strRef>
          </c:tx>
          <c:spPr>
            <a:solidFill>
              <a:schemeClr val="accent1"/>
            </a:solidFill>
            <a:ln>
              <a:noFill/>
            </a:ln>
            <a:effectLst/>
          </c:spPr>
          <c:invertIfNegative val="0"/>
          <c:val>
            <c:numRef>
              <c:f>'03_PV_Market_Share'!$C$2:$C$7</c:f>
              <c:numCache>
                <c:formatCode>0.00%</c:formatCode>
                <c:ptCount val="6"/>
                <c:pt idx="0">
                  <c:v>0.4024524778544587</c:v>
                </c:pt>
                <c:pt idx="1">
                  <c:v>0.13462336689272872</c:v>
                </c:pt>
                <c:pt idx="2">
                  <c:v>0.12904027320057243</c:v>
                </c:pt>
                <c:pt idx="3">
                  <c:v>0.12342226862026391</c:v>
                </c:pt>
                <c:pt idx="4">
                  <c:v>6.6370413672355771E-2</c:v>
                </c:pt>
                <c:pt idx="5">
                  <c:v>5.8231120673216751E-2</c:v>
                </c:pt>
              </c:numCache>
            </c:numRef>
          </c:val>
          <c:extLst>
            <c:ext xmlns:c16="http://schemas.microsoft.com/office/drawing/2014/chart" uri="{C3380CC4-5D6E-409C-BE32-E72D297353CC}">
              <c16:uniqueId val="{00000000-794A-4DA8-AEBC-6B264C4A3E28}"/>
            </c:ext>
          </c:extLst>
        </c:ser>
        <c:dLbls>
          <c:showLegendKey val="0"/>
          <c:showVal val="0"/>
          <c:showCatName val="0"/>
          <c:showSerName val="0"/>
          <c:showPercent val="0"/>
          <c:showBubbleSize val="0"/>
        </c:dLbls>
        <c:gapWidth val="219"/>
        <c:overlap val="-27"/>
        <c:axId val="1457510847"/>
        <c:axId val="1037653071"/>
      </c:barChart>
      <c:catAx>
        <c:axId val="1457510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OEM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53071"/>
        <c:crosses val="autoZero"/>
        <c:auto val="1"/>
        <c:lblAlgn val="ctr"/>
        <c:lblOffset val="100"/>
        <c:noMultiLvlLbl val="0"/>
      </c:catAx>
      <c:valAx>
        <c:axId val="1037653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markeet share(%)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51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INDIAN AUTOMOBILE INDUSTRY SALE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'01_Industry_Data'!$A$2</c:f>
              <c:strCache>
                <c:ptCount val="1"/>
                <c:pt idx="0">
                  <c:v>Passenger Vehicles</c:v>
                </c:pt>
              </c:strCache>
            </c:strRef>
          </c:tx>
          <c:spPr>
            <a:ln w="28575" cap="rnd">
              <a:solidFill>
                <a:schemeClr val="accent1"/>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'01_Industry_Data'!$B$2:$F$2</c:f>
              <c:numCache>
                <c:formatCode>General</c:formatCode>
                <c:ptCount val="5"/>
                <c:pt idx="0">
                  <c:v>2711457</c:v>
                </c:pt>
                <c:pt idx="1">
                  <c:v>3069523</c:v>
                </c:pt>
                <c:pt idx="2">
                  <c:v>3890114</c:v>
                </c:pt>
                <c:pt idx="3">
                  <c:v>4218750</c:v>
                </c:pt>
                <c:pt idx="4">
                  <c:v>4301848</c:v>
                </c:pt>
              </c:numCache>
            </c:numRef>
          </c:val>
          <c:smooth val="0"/>
          <c:extLst>
            <c:ext xmlns:c16="http://schemas.microsoft.com/office/drawing/2014/chart" uri="{C3380CC4-5D6E-409C-BE32-E72D297353CC}">
              <c16:uniqueId val="{00000000-E3D4-4C29-BB30-693F6930E8F7}"/>
            </c:ext>
          </c:extLst>
        </c:ser>
        <c:ser>
          <c:idx val="1"/>
          <c:order val="1"/>
          <c:tx>
            <c:strRef>
              <c:f>'01_Industry_Data'!$A$3</c:f>
              <c:strCache>
                <c:ptCount val="1"/>
                <c:pt idx="0">
                  <c:v>Commercial Vehicles</c:v>
                </c:pt>
              </c:strCache>
            </c:strRef>
          </c:tx>
          <c:spPr>
            <a:ln w="28575" cap="rnd">
              <a:solidFill>
                <a:schemeClr val="accent2"/>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'01_Industry_Data'!$B$3:$F$3</c:f>
              <c:numCache>
                <c:formatCode>General</c:formatCode>
                <c:ptCount val="5"/>
                <c:pt idx="0">
                  <c:v>568559</c:v>
                </c:pt>
                <c:pt idx="1">
                  <c:v>716566</c:v>
                </c:pt>
                <c:pt idx="2">
                  <c:v>962468</c:v>
                </c:pt>
                <c:pt idx="3">
                  <c:v>968770</c:v>
                </c:pt>
                <c:pt idx="4">
                  <c:v>956671</c:v>
                </c:pt>
              </c:numCache>
            </c:numRef>
          </c:val>
          <c:smooth val="0"/>
          <c:extLst>
            <c:ext xmlns:c16="http://schemas.microsoft.com/office/drawing/2014/chart" uri="{C3380CC4-5D6E-409C-BE32-E72D297353CC}">
              <c16:uniqueId val="{00000001-E3D4-4C29-BB30-693F6930E8F7}"/>
            </c:ext>
          </c:extLst>
        </c:ser>
        <c:ser>
          <c:idx val="2"/>
          <c:order val="2"/>
          <c:tx>
            <c:strRef>
              <c:f>'01_Industry_Data'!$A$4</c:f>
              <c:strCache>
                <c:ptCount val="1"/>
                <c:pt idx="0">
                  <c:v>Three Wheelers</c:v>
                </c:pt>
              </c:strCache>
            </c:strRef>
          </c:tx>
          <c:spPr>
            <a:ln w="28575" cap="rnd">
              <a:solidFill>
                <a:schemeClr val="accent3"/>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'01_Industry_Data'!$B$4:$F$4</c:f>
              <c:numCache>
                <c:formatCode>General</c:formatCode>
                <c:ptCount val="5"/>
                <c:pt idx="0">
                  <c:v>219446</c:v>
                </c:pt>
                <c:pt idx="1">
                  <c:v>261385</c:v>
                </c:pt>
                <c:pt idx="2">
                  <c:v>489562</c:v>
                </c:pt>
                <c:pt idx="3">
                  <c:v>693446</c:v>
                </c:pt>
                <c:pt idx="4">
                  <c:v>741420</c:v>
                </c:pt>
              </c:numCache>
            </c:numRef>
          </c:val>
          <c:smooth val="0"/>
          <c:extLst>
            <c:ext xmlns:c16="http://schemas.microsoft.com/office/drawing/2014/chart" uri="{C3380CC4-5D6E-409C-BE32-E72D297353CC}">
              <c16:uniqueId val="{00000002-E3D4-4C29-BB30-693F6930E8F7}"/>
            </c:ext>
          </c:extLst>
        </c:ser>
        <c:ser>
          <c:idx val="3"/>
          <c:order val="3"/>
          <c:tx>
            <c:strRef>
              <c:f>'01_Industry_Data'!$A$5</c:f>
              <c:strCache>
                <c:ptCount val="1"/>
                <c:pt idx="0">
                  <c:v>Two Wheelers</c:v>
                </c:pt>
              </c:strCache>
            </c:strRef>
          </c:tx>
          <c:spPr>
            <a:ln w="28575" cap="rnd">
              <a:solidFill>
                <a:schemeClr val="accent4"/>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'01_Industry_Data'!$B$5:$F$5</c:f>
              <c:numCache>
                <c:formatCode>General</c:formatCode>
                <c:ptCount val="5"/>
                <c:pt idx="0">
                  <c:v>15121402</c:v>
                </c:pt>
                <c:pt idx="1">
                  <c:v>13570682</c:v>
                </c:pt>
                <c:pt idx="2">
                  <c:v>15862886</c:v>
                </c:pt>
                <c:pt idx="3">
                  <c:v>17974582</c:v>
                </c:pt>
                <c:pt idx="4">
                  <c:v>19607332</c:v>
                </c:pt>
              </c:numCache>
            </c:numRef>
          </c:val>
          <c:smooth val="0"/>
          <c:extLst>
            <c:ext xmlns:c16="http://schemas.microsoft.com/office/drawing/2014/chart" uri="{C3380CC4-5D6E-409C-BE32-E72D297353CC}">
              <c16:uniqueId val="{00000003-E3D4-4C29-BB30-693F6930E8F7}"/>
            </c:ext>
          </c:extLst>
        </c:ser>
        <c:ser>
          <c:idx val="4"/>
          <c:order val="4"/>
          <c:tx>
            <c:strRef>
              <c:f>'01_Industry_Data'!$A$6</c:f>
              <c:strCache>
                <c:ptCount val="1"/>
                <c:pt idx="0">
                  <c:v>Grand Total</c:v>
                </c:pt>
              </c:strCache>
            </c:strRef>
          </c:tx>
          <c:spPr>
            <a:ln w="28575" cap="rnd">
              <a:solidFill>
                <a:schemeClr val="accent5"/>
              </a:solidFill>
              <a:round/>
            </a:ln>
            <a:effectLst/>
          </c:spPr>
          <c:marker>
            <c:symbol val="none"/>
          </c:marker>
          <c:cat>
            <c:strRef>
              <c:f>'01_Industry_Data'!$B$1:$F$1</c:f>
              <c:strCache>
                <c:ptCount val="5"/>
                <c:pt idx="0">
                  <c:v>FY 2020-21</c:v>
                </c:pt>
                <c:pt idx="1">
                  <c:v>FY 2021-22</c:v>
                </c:pt>
                <c:pt idx="2">
                  <c:v>FY 2022-23</c:v>
                </c:pt>
                <c:pt idx="3">
                  <c:v>FY 2023-24</c:v>
                </c:pt>
                <c:pt idx="4">
                  <c:v>FY 2024-25</c:v>
                </c:pt>
              </c:strCache>
            </c:strRef>
          </c:cat>
          <c:val>
            <c:numRef>
              <c:f>'01_Industry_Data'!$B$6:$F$6</c:f>
              <c:numCache>
                <c:formatCode>General</c:formatCode>
                <c:ptCount val="5"/>
                <c:pt idx="0">
                  <c:v>18620864</c:v>
                </c:pt>
                <c:pt idx="1">
                  <c:v>17618156</c:v>
                </c:pt>
                <c:pt idx="2">
                  <c:v>21205030</c:v>
                </c:pt>
                <c:pt idx="3">
                  <c:v>23855548</c:v>
                </c:pt>
                <c:pt idx="4">
                  <c:v>25607271</c:v>
                </c:pt>
              </c:numCache>
            </c:numRef>
          </c:val>
          <c:smooth val="0"/>
          <c:extLst>
            <c:ext xmlns:c16="http://schemas.microsoft.com/office/drawing/2014/chart" uri="{C3380CC4-5D6E-409C-BE32-E72D297353CC}">
              <c16:uniqueId val="{00000004-E3D4-4C29-BB30-693F6930E8F7}"/>
            </c:ext>
          </c:extLst>
        </c:ser>
        <c:dLbls>
          <c:showLegendKey val="0"/>
          <c:showVal val="0"/>
          <c:showCatName val="0"/>
          <c:showSerName val="0"/>
          <c:showPercent val="0"/>
          <c:showBubbleSize val="0"/>
        </c:dLbls>
        <c:smooth val="0"/>
        <c:axId val="1456203679"/>
        <c:axId val="1037654031"/>
      </c:lineChart>
      <c:catAx>
        <c:axId val="145620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54031"/>
        <c:crosses val="autoZero"/>
        <c:auto val="1"/>
        <c:lblAlgn val="ctr"/>
        <c:lblOffset val="100"/>
        <c:noMultiLvlLbl val="0"/>
      </c:catAx>
      <c:valAx>
        <c:axId val="1037654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VEHICLES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20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1743205</xdr:colOff>
      <xdr:row>25</xdr:row>
      <xdr:rowOff>156584</xdr:rowOff>
    </xdr:from>
    <xdr:to>
      <xdr:col>5</xdr:col>
      <xdr:colOff>156575</xdr:colOff>
      <xdr:row>41</xdr:row>
      <xdr:rowOff>41753</xdr:rowOff>
    </xdr:to>
    <xdr:graphicFrame macro="">
      <xdr:nvGraphicFramePr>
        <xdr:cNvPr id="2" name="Chart 1">
          <a:extLst>
            <a:ext uri="{FF2B5EF4-FFF2-40B4-BE49-F238E27FC236}">
              <a16:creationId xmlns:a16="http://schemas.microsoft.com/office/drawing/2014/main" id="{9437A914-D54C-B9D9-2A20-2EA29C06D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528206</xdr:colOff>
      <xdr:row>27</xdr:row>
      <xdr:rowOff>61482</xdr:rowOff>
    </xdr:from>
    <xdr:to>
      <xdr:col>6</xdr:col>
      <xdr:colOff>1440873</xdr:colOff>
      <xdr:row>51</xdr:row>
      <xdr:rowOff>69274</xdr:rowOff>
    </xdr:to>
    <xdr:graphicFrame macro="">
      <xdr:nvGraphicFramePr>
        <xdr:cNvPr id="2" name="Chart 1">
          <a:extLst>
            <a:ext uri="{FF2B5EF4-FFF2-40B4-BE49-F238E27FC236}">
              <a16:creationId xmlns:a16="http://schemas.microsoft.com/office/drawing/2014/main" id="{953647B8-860D-EE66-F8F9-B80B1E088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1442357</xdr:colOff>
      <xdr:row>14</xdr:row>
      <xdr:rowOff>45364</xdr:rowOff>
    </xdr:from>
    <xdr:to>
      <xdr:col>4</xdr:col>
      <xdr:colOff>163286</xdr:colOff>
      <xdr:row>27</xdr:row>
      <xdr:rowOff>81643</xdr:rowOff>
    </xdr:to>
    <xdr:graphicFrame macro="">
      <xdr:nvGraphicFramePr>
        <xdr:cNvPr id="3" name="Chart 2">
          <a:extLst>
            <a:ext uri="{FF2B5EF4-FFF2-40B4-BE49-F238E27FC236}">
              <a16:creationId xmlns:a16="http://schemas.microsoft.com/office/drawing/2014/main" id="{52966BF3-174B-A6A1-ACD2-83E7A5631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53474</xdr:colOff>
      <xdr:row>18</xdr:row>
      <xdr:rowOff>40106</xdr:rowOff>
    </xdr:from>
    <xdr:to>
      <xdr:col>2</xdr:col>
      <xdr:colOff>1470527</xdr:colOff>
      <xdr:row>35</xdr:row>
      <xdr:rowOff>26737</xdr:rowOff>
    </xdr:to>
    <xdr:graphicFrame macro="">
      <xdr:nvGraphicFramePr>
        <xdr:cNvPr id="2" name="Chart 1">
          <a:extLst>
            <a:ext uri="{FF2B5EF4-FFF2-40B4-BE49-F238E27FC236}">
              <a16:creationId xmlns:a16="http://schemas.microsoft.com/office/drawing/2014/main" id="{D4FB6148-65FA-4AC6-B503-FB54CC84B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935790</xdr:colOff>
      <xdr:row>18</xdr:row>
      <xdr:rowOff>0</xdr:rowOff>
    </xdr:from>
    <xdr:to>
      <xdr:col>10</xdr:col>
      <xdr:colOff>43448</xdr:colOff>
      <xdr:row>35</xdr:row>
      <xdr:rowOff>13369</xdr:rowOff>
    </xdr:to>
    <xdr:graphicFrame macro="">
      <xdr:nvGraphicFramePr>
        <xdr:cNvPr id="4" name="Chart 3">
          <a:extLst>
            <a:ext uri="{FF2B5EF4-FFF2-40B4-BE49-F238E27FC236}">
              <a16:creationId xmlns:a16="http://schemas.microsoft.com/office/drawing/2014/main" id="{D737A991-C764-4C67-87F9-52D131548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2219159</xdr:colOff>
      <xdr:row>43</xdr:row>
      <xdr:rowOff>106948</xdr:rowOff>
    </xdr:from>
    <xdr:to>
      <xdr:col>3</xdr:col>
      <xdr:colOff>1002632</xdr:colOff>
      <xdr:row>60</xdr:row>
      <xdr:rowOff>0</xdr:rowOff>
    </xdr:to>
    <xdr:graphicFrame macro="">
      <xdr:nvGraphicFramePr>
        <xdr:cNvPr id="5" name="Chart 4">
          <a:extLst>
            <a:ext uri="{FF2B5EF4-FFF2-40B4-BE49-F238E27FC236}">
              <a16:creationId xmlns:a16="http://schemas.microsoft.com/office/drawing/2014/main" id="{1FA3A154-C844-47B2-B04D-5E62CFD67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zoomScale="63" workbookViewId="0">
      <pane ySplit="1" topLeftCell="A2" activePane="bottomLeft" state="frozen"/>
      <selection pane="bottomLeft"/>
    </sheetView>
  </sheetViews>
  <sheetFormatPr defaultRowHeight="14.4" x14ac:dyDescent="0.3"/>
  <cols>
    <col min="1" max="1" width="28" customWidth="1"/>
    <col min="2" max="2" width="105" customWidth="1"/>
  </cols>
  <sheetData>
    <row r="1" spans="1:2" ht="54" x14ac:dyDescent="0.3">
      <c r="A1" s="1" t="s">
        <v>0</v>
      </c>
      <c r="B1" s="1"/>
    </row>
    <row r="2" spans="1:2" x14ac:dyDescent="0.3">
      <c r="A2" s="2" t="s">
        <v>1</v>
      </c>
      <c r="B2" s="2" t="s">
        <v>2</v>
      </c>
    </row>
    <row r="3" spans="1:2" x14ac:dyDescent="0.3">
      <c r="A3" s="2" t="s">
        <v>3</v>
      </c>
      <c r="B3" s="2" t="s">
        <v>4</v>
      </c>
    </row>
    <row r="4" spans="1:2" x14ac:dyDescent="0.3">
      <c r="A4" s="2" t="s">
        <v>5</v>
      </c>
      <c r="B4" s="2" t="s">
        <v>6</v>
      </c>
    </row>
    <row r="5" spans="1:2" x14ac:dyDescent="0.3">
      <c r="A5" s="2" t="s">
        <v>7</v>
      </c>
      <c r="B5" s="2" t="s">
        <v>8</v>
      </c>
    </row>
    <row r="6" spans="1:2" x14ac:dyDescent="0.3">
      <c r="A6" s="2"/>
      <c r="B6" s="2"/>
    </row>
    <row r="7" spans="1:2" x14ac:dyDescent="0.3">
      <c r="A7" s="3" t="s">
        <v>9</v>
      </c>
      <c r="B7" s="2"/>
    </row>
    <row r="8" spans="1:2" x14ac:dyDescent="0.3">
      <c r="A8" s="4" t="s">
        <v>10</v>
      </c>
      <c r="B8" s="2" t="s">
        <v>11</v>
      </c>
    </row>
    <row r="9" spans="1:2" x14ac:dyDescent="0.3">
      <c r="A9" s="4" t="s">
        <v>12</v>
      </c>
      <c r="B9" s="2" t="s">
        <v>13</v>
      </c>
    </row>
    <row r="10" spans="1:2" x14ac:dyDescent="0.3">
      <c r="A10" s="4" t="s">
        <v>14</v>
      </c>
      <c r="B10" s="2" t="s">
        <v>15</v>
      </c>
    </row>
    <row r="11" spans="1:2" x14ac:dyDescent="0.3">
      <c r="A11" s="4" t="s">
        <v>16</v>
      </c>
      <c r="B11" s="2" t="s">
        <v>17</v>
      </c>
    </row>
    <row r="12" spans="1:2" x14ac:dyDescent="0.3">
      <c r="A12" s="4" t="s">
        <v>18</v>
      </c>
      <c r="B12" s="2" t="s">
        <v>19</v>
      </c>
    </row>
    <row r="13" spans="1:2" x14ac:dyDescent="0.3">
      <c r="A13" s="4" t="s">
        <v>20</v>
      </c>
      <c r="B13" s="2" t="s">
        <v>21</v>
      </c>
    </row>
    <row r="14" spans="1:2" x14ac:dyDescent="0.3">
      <c r="A14" s="4" t="s">
        <v>22</v>
      </c>
      <c r="B14" s="2" t="s">
        <v>23</v>
      </c>
    </row>
    <row r="15" spans="1:2" x14ac:dyDescent="0.3">
      <c r="A15" s="4" t="s">
        <v>24</v>
      </c>
      <c r="B15" s="2" t="s">
        <v>25</v>
      </c>
    </row>
    <row r="16" spans="1:2" x14ac:dyDescent="0.3">
      <c r="A16" s="4" t="s">
        <v>26</v>
      </c>
      <c r="B16" s="2" t="s">
        <v>27</v>
      </c>
    </row>
    <row r="17" spans="1:2" x14ac:dyDescent="0.3">
      <c r="A17" s="4" t="s">
        <v>28</v>
      </c>
      <c r="B17" s="2" t="s">
        <v>29</v>
      </c>
    </row>
    <row r="18" spans="1:2" x14ac:dyDescent="0.3">
      <c r="A18" s="2"/>
      <c r="B18" s="2"/>
    </row>
    <row r="19" spans="1:2" x14ac:dyDescent="0.3">
      <c r="A19" s="5" t="s">
        <v>30</v>
      </c>
      <c r="B19" s="2" t="s">
        <v>31</v>
      </c>
    </row>
    <row r="20" spans="1:2" x14ac:dyDescent="0.3">
      <c r="A20" s="5" t="s">
        <v>32</v>
      </c>
      <c r="B20" s="2" t="s">
        <v>33</v>
      </c>
    </row>
    <row r="21" spans="1:2" x14ac:dyDescent="0.3">
      <c r="A21" s="5"/>
      <c r="B21" s="2"/>
    </row>
    <row r="22" spans="1:2" x14ac:dyDescent="0.3">
      <c r="A22" s="2" t="s">
        <v>34</v>
      </c>
      <c r="B22" s="2"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showGridLines="0" zoomScale="46" zoomScaleNormal="59" workbookViewId="0">
      <pane ySplit="1" topLeftCell="A2" activePane="bottomLeft" state="frozen"/>
      <selection pane="bottomLeft" activeCell="E44" sqref="E44"/>
    </sheetView>
  </sheetViews>
  <sheetFormatPr defaultRowHeight="14.4" x14ac:dyDescent="0.3"/>
  <cols>
    <col min="1" max="1" width="28" customWidth="1"/>
    <col min="2" max="6" width="16" customWidth="1"/>
    <col min="7" max="7" width="38" customWidth="1"/>
  </cols>
  <sheetData>
    <row r="1" spans="1:7" x14ac:dyDescent="0.3">
      <c r="A1" s="6" t="s">
        <v>36</v>
      </c>
      <c r="B1" s="6" t="s">
        <v>37</v>
      </c>
      <c r="C1" s="6" t="s">
        <v>38</v>
      </c>
      <c r="D1" s="6" t="s">
        <v>39</v>
      </c>
      <c r="E1" s="6" t="s">
        <v>40</v>
      </c>
      <c r="F1" s="6" t="s">
        <v>41</v>
      </c>
      <c r="G1" s="6" t="s">
        <v>42</v>
      </c>
    </row>
    <row r="2" spans="1:7" x14ac:dyDescent="0.3">
      <c r="A2" s="7" t="s">
        <v>43</v>
      </c>
      <c r="B2" s="7">
        <v>2711457</v>
      </c>
      <c r="C2" s="7">
        <v>3069523</v>
      </c>
      <c r="D2" s="7">
        <v>3890114</v>
      </c>
      <c r="E2" s="7">
        <v>4218750</v>
      </c>
      <c r="F2" s="7">
        <v>4301848</v>
      </c>
      <c r="G2" s="7" t="s">
        <v>104</v>
      </c>
    </row>
    <row r="3" spans="1:7" x14ac:dyDescent="0.3">
      <c r="A3" s="7" t="s">
        <v>45</v>
      </c>
      <c r="B3" s="7">
        <v>568559</v>
      </c>
      <c r="C3" s="7">
        <v>716566</v>
      </c>
      <c r="D3" s="7">
        <v>962468</v>
      </c>
      <c r="E3" s="7">
        <v>968770</v>
      </c>
      <c r="F3" s="7">
        <v>956671</v>
      </c>
      <c r="G3" s="7" t="s">
        <v>104</v>
      </c>
    </row>
    <row r="4" spans="1:7" x14ac:dyDescent="0.3">
      <c r="A4" s="7" t="s">
        <v>46</v>
      </c>
      <c r="B4" s="7">
        <v>219446</v>
      </c>
      <c r="C4" s="7">
        <v>261385</v>
      </c>
      <c r="D4" s="7">
        <v>489562</v>
      </c>
      <c r="E4" s="7">
        <v>693446</v>
      </c>
      <c r="F4" s="7">
        <v>741420</v>
      </c>
      <c r="G4" s="7" t="s">
        <v>104</v>
      </c>
    </row>
    <row r="5" spans="1:7" x14ac:dyDescent="0.3">
      <c r="A5" s="7" t="s">
        <v>47</v>
      </c>
      <c r="B5" s="7">
        <v>15121402</v>
      </c>
      <c r="C5" s="7">
        <v>13570682</v>
      </c>
      <c r="D5" s="7">
        <v>15862886</v>
      </c>
      <c r="E5" s="7">
        <v>17974582</v>
      </c>
      <c r="F5" s="7">
        <v>19607332</v>
      </c>
      <c r="G5" s="7" t="s">
        <v>104</v>
      </c>
    </row>
    <row r="6" spans="1:7" x14ac:dyDescent="0.3">
      <c r="A6" s="7" t="s">
        <v>48</v>
      </c>
      <c r="B6" s="7">
        <f>SUM(B2:B5)</f>
        <v>18620864</v>
      </c>
      <c r="C6" s="7">
        <f>SUM(C2:C5)</f>
        <v>17618156</v>
      </c>
      <c r="D6" s="7">
        <f>SUM(D2:D5)</f>
        <v>21205030</v>
      </c>
      <c r="E6" s="7">
        <f>SUM(E2:E5)</f>
        <v>23855548</v>
      </c>
      <c r="F6" s="7">
        <f>SUM(F2:F5)</f>
        <v>25607271</v>
      </c>
      <c r="G6" s="7" t="s">
        <v>44</v>
      </c>
    </row>
    <row r="7" spans="1:7" x14ac:dyDescent="0.3">
      <c r="A7" s="7"/>
      <c r="B7" s="7"/>
      <c r="C7" s="7"/>
      <c r="D7" s="7"/>
      <c r="E7" s="7"/>
      <c r="F7" s="7"/>
      <c r="G7" s="7"/>
    </row>
    <row r="8" spans="1:7" x14ac:dyDescent="0.3">
      <c r="A8" s="8" t="s">
        <v>49</v>
      </c>
      <c r="B8" s="9" t="s">
        <v>50</v>
      </c>
      <c r="C8" s="9">
        <f>(C2-B2)/B2</f>
        <v>0.13205667653958739</v>
      </c>
      <c r="D8" s="9">
        <f>(D2-C2)/C2</f>
        <v>0.26733502241227708</v>
      </c>
      <c r="E8" s="9">
        <f>(E2-D2)/D2</f>
        <v>8.4479786453558942E-2</v>
      </c>
      <c r="F8" s="9">
        <f>(F2-E2)/E2</f>
        <v>1.9697303703703702E-2</v>
      </c>
      <c r="G8" s="8" t="s">
        <v>51</v>
      </c>
    </row>
    <row r="9" spans="1:7" ht="28.8" x14ac:dyDescent="0.3">
      <c r="A9" s="8" t="s">
        <v>52</v>
      </c>
      <c r="B9" s="9" t="s">
        <v>50</v>
      </c>
      <c r="C9" s="9">
        <f>C2/B2-1</f>
        <v>0.13205667653958741</v>
      </c>
      <c r="D9" s="9">
        <f>D2/C2-1</f>
        <v>0.26733502241227702</v>
      </c>
      <c r="E9" s="9">
        <f>E2/D2-1</f>
        <v>8.4479786453558914E-2</v>
      </c>
      <c r="F9" s="9">
        <f>F2/E2-1</f>
        <v>1.9697303703703595E-2</v>
      </c>
      <c r="G9" s="8"/>
    </row>
    <row r="10" spans="1:7" x14ac:dyDescent="0.3">
      <c r="A10" s="8" t="s">
        <v>45</v>
      </c>
      <c r="B10" s="9" t="s">
        <v>50</v>
      </c>
      <c r="C10" s="9">
        <f>(C3-B3)/B3</f>
        <v>0.26031950949681565</v>
      </c>
      <c r="D10" s="9">
        <f>(D3-C3)/C3</f>
        <v>0.34316727279831866</v>
      </c>
      <c r="E10" s="9">
        <f>(E3-D3)/D3</f>
        <v>6.5477501589663242E-3</v>
      </c>
      <c r="F10" s="9">
        <f>(F3-E3)/E3</f>
        <v>-1.2489032484490643E-2</v>
      </c>
      <c r="G10" s="8"/>
    </row>
    <row r="11" spans="1:7" x14ac:dyDescent="0.3">
      <c r="A11" s="14" t="s">
        <v>105</v>
      </c>
      <c r="B11" s="15" t="s">
        <v>50</v>
      </c>
      <c r="C11" s="9">
        <f>(C4-B4)/B4</f>
        <v>0.19111307565414726</v>
      </c>
      <c r="D11" s="9">
        <f>(D4-C4)/C4</f>
        <v>0.87295368900281189</v>
      </c>
      <c r="E11" s="9">
        <f>(E4-D4)/D4</f>
        <v>0.41646206200644659</v>
      </c>
      <c r="F11" s="9">
        <f t="shared" ref="C10:F21" si="0">F4/E4-1</f>
        <v>6.9182027151357239E-2</v>
      </c>
      <c r="G11" s="8"/>
    </row>
    <row r="12" spans="1:7" x14ac:dyDescent="0.3">
      <c r="A12" s="14" t="s">
        <v>47</v>
      </c>
      <c r="B12" s="15" t="s">
        <v>50</v>
      </c>
      <c r="C12" s="9">
        <f t="shared" si="0"/>
        <v>-0.10255133750164169</v>
      </c>
      <c r="D12" s="9">
        <f t="shared" si="0"/>
        <v>0.16890853385260951</v>
      </c>
      <c r="E12" s="9">
        <f t="shared" si="0"/>
        <v>0.13312180393908135</v>
      </c>
      <c r="F12" s="9">
        <f>(F5-E5)/E5</f>
        <v>9.0836604712142957E-2</v>
      </c>
      <c r="G12" s="8"/>
    </row>
    <row r="13" spans="1:7" x14ac:dyDescent="0.3">
      <c r="A13" s="14" t="s">
        <v>48</v>
      </c>
      <c r="B13" s="15" t="s">
        <v>50</v>
      </c>
      <c r="C13" s="9">
        <f>(C6-B6)/B6</f>
        <v>-5.3848629150612989E-2</v>
      </c>
      <c r="D13" s="9">
        <f t="shared" si="0"/>
        <v>0.20358963787129603</v>
      </c>
      <c r="E13" s="9">
        <f t="shared" si="0"/>
        <v>0.12499477718258367</v>
      </c>
      <c r="F13" s="9">
        <f t="shared" si="0"/>
        <v>7.3430423815877166E-2</v>
      </c>
      <c r="G13" s="8"/>
    </row>
    <row r="14" spans="1:7" x14ac:dyDescent="0.3">
      <c r="A14" s="8" t="s">
        <v>106</v>
      </c>
      <c r="B14" s="9" t="s">
        <v>107</v>
      </c>
      <c r="C14" s="9"/>
      <c r="G14" s="8"/>
    </row>
    <row r="15" spans="1:7" x14ac:dyDescent="0.3">
      <c r="A15" s="8" t="s">
        <v>43</v>
      </c>
      <c r="B15" s="9">
        <f>(F2/B2)^(1/4)-1</f>
        <v>0.12231065204261671</v>
      </c>
      <c r="C15" s="9"/>
      <c r="G15" s="8"/>
    </row>
    <row r="16" spans="1:7" x14ac:dyDescent="0.3">
      <c r="A16" s="7" t="s">
        <v>45</v>
      </c>
      <c r="B16" s="9">
        <f t="shared" ref="B16:C21" si="1">(F3/B3)^(1/4)-1</f>
        <v>0.13892930507454548</v>
      </c>
      <c r="C16" s="9"/>
      <c r="G16" s="8"/>
    </row>
    <row r="17" spans="1:7" x14ac:dyDescent="0.3">
      <c r="A17" s="7" t="s">
        <v>46</v>
      </c>
      <c r="B17" s="9">
        <f t="shared" si="1"/>
        <v>0.35576418488195061</v>
      </c>
      <c r="C17" s="9"/>
      <c r="G17" s="8"/>
    </row>
    <row r="18" spans="1:7" x14ac:dyDescent="0.3">
      <c r="A18" s="7" t="s">
        <v>47</v>
      </c>
      <c r="B18" s="9">
        <f t="shared" si="1"/>
        <v>6.710366337021334E-2</v>
      </c>
      <c r="C18" s="9"/>
      <c r="G18" s="8"/>
    </row>
    <row r="19" spans="1:7" x14ac:dyDescent="0.3">
      <c r="A19" s="7" t="s">
        <v>48</v>
      </c>
      <c r="B19" s="9">
        <f t="shared" si="1"/>
        <v>8.2906267706955861E-2</v>
      </c>
      <c r="C19" s="9"/>
      <c r="G19" s="8"/>
    </row>
    <row r="20" spans="1:7" x14ac:dyDescent="0.3">
      <c r="A20" s="8"/>
      <c r="B20" s="9"/>
      <c r="C20" s="9"/>
      <c r="G20" s="8"/>
    </row>
    <row r="21" spans="1:7" x14ac:dyDescent="0.3">
      <c r="A21" s="8"/>
      <c r="B21" s="9"/>
      <c r="C21" s="9"/>
      <c r="G21" s="8"/>
    </row>
    <row r="22" spans="1:7" x14ac:dyDescent="0.3">
      <c r="A22" s="8"/>
      <c r="B22" s="9"/>
      <c r="C22" s="9"/>
      <c r="G22" s="8"/>
    </row>
    <row r="23" spans="1:7" x14ac:dyDescent="0.3">
      <c r="A23" s="8"/>
      <c r="B23" s="9"/>
      <c r="C23" s="9"/>
      <c r="G23" s="8"/>
    </row>
    <row r="24" spans="1:7" x14ac:dyDescent="0.3">
      <c r="A24" s="8"/>
      <c r="B24" s="9"/>
      <c r="C24" s="9"/>
      <c r="G24" s="8"/>
    </row>
    <row r="25" spans="1:7" x14ac:dyDescent="0.3">
      <c r="A25" s="8"/>
      <c r="B25" s="9"/>
      <c r="C25" s="9"/>
      <c r="G25" s="8"/>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7"/>
  <sheetViews>
    <sheetView showGridLines="0" zoomScale="45" zoomScaleNormal="52" workbookViewId="0">
      <pane ySplit="1" topLeftCell="A2" activePane="bottomLeft" state="frozen"/>
      <selection pane="bottomLeft" activeCell="D34" sqref="D34"/>
    </sheetView>
  </sheetViews>
  <sheetFormatPr defaultRowHeight="14.4" x14ac:dyDescent="0.3"/>
  <cols>
    <col min="1" max="1" width="32" customWidth="1"/>
    <col min="2" max="4" width="16" customWidth="1"/>
    <col min="5" max="5" width="16.21875" customWidth="1"/>
    <col min="6" max="6" width="16" customWidth="1"/>
    <col min="7" max="7" width="42" customWidth="1"/>
    <col min="8" max="8" width="15.21875" bestFit="1" customWidth="1"/>
    <col min="9" max="9" width="23" bestFit="1" customWidth="1"/>
  </cols>
  <sheetData>
    <row r="1" spans="1:9" x14ac:dyDescent="0.3">
      <c r="A1" s="6" t="s">
        <v>54</v>
      </c>
      <c r="B1" s="6" t="s">
        <v>37</v>
      </c>
      <c r="C1" s="6" t="s">
        <v>38</v>
      </c>
      <c r="D1" s="6" t="s">
        <v>39</v>
      </c>
      <c r="E1" s="6" t="s">
        <v>40</v>
      </c>
      <c r="F1" s="6" t="s">
        <v>41</v>
      </c>
      <c r="G1" s="6" t="s">
        <v>55</v>
      </c>
      <c r="H1" t="s">
        <v>112</v>
      </c>
      <c r="I1" t="s">
        <v>113</v>
      </c>
    </row>
    <row r="2" spans="1:9" x14ac:dyDescent="0.3">
      <c r="A2" s="7" t="s">
        <v>56</v>
      </c>
      <c r="B2" s="10">
        <v>2E-3</v>
      </c>
      <c r="C2" s="10">
        <v>6.0000000000000001E-3</v>
      </c>
      <c r="D2" s="10">
        <v>1.2999999999999999E-2</v>
      </c>
      <c r="E2" s="10">
        <v>2.3E-2</v>
      </c>
      <c r="F2" s="10">
        <v>2.5999999999999999E-2</v>
      </c>
      <c r="G2" t="s">
        <v>108</v>
      </c>
      <c r="H2" t="s">
        <v>114</v>
      </c>
      <c r="I2" s="19">
        <v>1.43E-2</v>
      </c>
    </row>
    <row r="3" spans="1:9" x14ac:dyDescent="0.3">
      <c r="A3" s="7" t="s">
        <v>57</v>
      </c>
      <c r="B3" s="10">
        <v>1E-3</v>
      </c>
      <c r="C3" s="10">
        <v>3.0000000000000001E-3</v>
      </c>
      <c r="D3" s="10">
        <v>3.0000000000000001E-3</v>
      </c>
      <c r="E3" s="10">
        <v>8.9999999999999993E-3</v>
      </c>
      <c r="F3" s="10">
        <v>8.9999999999999993E-3</v>
      </c>
      <c r="G3" s="7" t="s">
        <v>108</v>
      </c>
      <c r="H3" t="s">
        <v>115</v>
      </c>
      <c r="I3" s="20">
        <v>4.5899999999999996E-2</v>
      </c>
    </row>
    <row r="4" spans="1:9" x14ac:dyDescent="0.3">
      <c r="A4" s="7" t="s">
        <v>58</v>
      </c>
      <c r="B4" s="10">
        <v>0.316</v>
      </c>
      <c r="C4" s="10">
        <v>0.437</v>
      </c>
      <c r="D4" s="10">
        <v>0.51300000000000001</v>
      </c>
      <c r="E4" s="10">
        <v>0.54200000000000004</v>
      </c>
      <c r="F4" s="10">
        <v>0.57299999999999995</v>
      </c>
      <c r="G4" s="7" t="s">
        <v>108</v>
      </c>
      <c r="H4" t="s">
        <v>116</v>
      </c>
      <c r="I4" s="20">
        <v>0.1183</v>
      </c>
    </row>
    <row r="5" spans="1:9" x14ac:dyDescent="0.3">
      <c r="A5" s="7" t="s">
        <v>59</v>
      </c>
      <c r="B5" s="10">
        <v>3.0000000000000001E-3</v>
      </c>
      <c r="C5" s="10">
        <v>1.9E-2</v>
      </c>
      <c r="D5" s="10">
        <v>4.4999999999999998E-2</v>
      </c>
      <c r="E5" s="10">
        <v>5.3999999999999999E-2</v>
      </c>
      <c r="F5" s="10">
        <v>6.0999999999999999E-2</v>
      </c>
      <c r="G5" s="7" t="s">
        <v>108</v>
      </c>
      <c r="H5" t="s">
        <v>117</v>
      </c>
      <c r="I5" s="19">
        <v>0.1681</v>
      </c>
    </row>
    <row r="6" spans="1:9" x14ac:dyDescent="0.3">
      <c r="A6" s="7"/>
      <c r="B6" s="7"/>
      <c r="C6" s="7"/>
      <c r="D6" s="7"/>
      <c r="E6" s="7"/>
      <c r="F6" s="7"/>
      <c r="G6" s="7"/>
      <c r="H6" t="s">
        <v>67</v>
      </c>
      <c r="I6" s="19">
        <v>0.1968</v>
      </c>
    </row>
    <row r="7" spans="1:9" x14ac:dyDescent="0.3">
      <c r="A7" s="7" t="s">
        <v>110</v>
      </c>
      <c r="B7" s="7">
        <v>1.43</v>
      </c>
      <c r="C7" s="7">
        <v>4.59</v>
      </c>
      <c r="D7" s="7">
        <v>11.83</v>
      </c>
      <c r="E7" s="7">
        <v>16.809999999999999</v>
      </c>
      <c r="F7" s="7">
        <v>19.68</v>
      </c>
      <c r="G7" s="7"/>
    </row>
    <row r="8" spans="1:9" x14ac:dyDescent="0.3">
      <c r="A8" s="7"/>
      <c r="B8" s="7"/>
      <c r="C8" s="7"/>
      <c r="D8" s="7"/>
      <c r="E8" s="7"/>
      <c r="F8" s="7"/>
      <c r="G8" s="7"/>
    </row>
    <row r="9" spans="1:9" x14ac:dyDescent="0.3">
      <c r="A9" s="18" t="s">
        <v>111</v>
      </c>
      <c r="B9" s="18" t="s">
        <v>50</v>
      </c>
      <c r="C9" s="18">
        <f>(C7-B7)/B7</f>
        <v>2.20979020979021</v>
      </c>
      <c r="D9" s="18">
        <f>(D7-C7)/C7</f>
        <v>1.5773420479302833</v>
      </c>
      <c r="E9" s="18">
        <f>(E7-D7)/D7</f>
        <v>0.42096365173288236</v>
      </c>
      <c r="F9" s="18">
        <f>(F7-E7)/E7</f>
        <v>0.17073170731707324</v>
      </c>
      <c r="G9" s="7"/>
    </row>
    <row r="10" spans="1:9" x14ac:dyDescent="0.3">
      <c r="A10" s="7"/>
      <c r="B10" s="7"/>
      <c r="C10" s="7"/>
      <c r="D10" s="7"/>
      <c r="E10" s="7"/>
      <c r="F10" s="7"/>
      <c r="G10" s="7"/>
    </row>
    <row r="11" spans="1:9" x14ac:dyDescent="0.3">
      <c r="A11" s="17"/>
      <c r="B11" s="7"/>
      <c r="C11" s="7"/>
      <c r="D11" s="7"/>
      <c r="E11" s="7"/>
      <c r="F11" s="7"/>
      <c r="G11" s="7"/>
    </row>
    <row r="12" spans="1:9" x14ac:dyDescent="0.3">
      <c r="A12" s="7"/>
      <c r="B12" s="7"/>
      <c r="C12" s="7"/>
      <c r="D12" s="7"/>
      <c r="E12" s="7"/>
      <c r="F12" s="7"/>
      <c r="G12" s="7"/>
    </row>
    <row r="13" spans="1:9" x14ac:dyDescent="0.3">
      <c r="A13" s="7"/>
      <c r="B13" s="7"/>
      <c r="C13" s="7"/>
      <c r="D13" s="7"/>
      <c r="E13" s="7"/>
      <c r="F13" s="7"/>
      <c r="G13" s="7"/>
    </row>
    <row r="14" spans="1:9" x14ac:dyDescent="0.3">
      <c r="A14" s="7"/>
      <c r="B14" s="7"/>
      <c r="C14" s="7"/>
      <c r="D14" s="7"/>
      <c r="E14" s="7"/>
      <c r="F14" s="7"/>
      <c r="G14" s="7"/>
    </row>
    <row r="15" spans="1:9" x14ac:dyDescent="0.3">
      <c r="A15" s="7"/>
      <c r="B15" s="7"/>
      <c r="C15" s="7"/>
      <c r="D15" s="7"/>
      <c r="E15" s="7"/>
      <c r="F15" s="7"/>
      <c r="G15" s="7"/>
    </row>
    <row r="16" spans="1:9" x14ac:dyDescent="0.3">
      <c r="A16" s="7"/>
      <c r="B16" s="7"/>
      <c r="C16" s="7"/>
      <c r="D16" s="7"/>
      <c r="E16" s="7"/>
      <c r="F16" s="7"/>
      <c r="G16" s="7"/>
    </row>
    <row r="17" spans="1:7" x14ac:dyDescent="0.3">
      <c r="A17" s="7"/>
      <c r="B17" s="7"/>
      <c r="C17" s="7"/>
      <c r="D17" s="7"/>
      <c r="E17" s="7"/>
      <c r="F17" s="7"/>
      <c r="G17" s="7"/>
    </row>
    <row r="18" spans="1:7" x14ac:dyDescent="0.3">
      <c r="A18" s="7"/>
      <c r="B18" s="7"/>
      <c r="C18" s="7"/>
      <c r="D18" s="7"/>
      <c r="E18" s="7"/>
      <c r="F18" s="7"/>
      <c r="G18" s="7"/>
    </row>
    <row r="19" spans="1:7" x14ac:dyDescent="0.3">
      <c r="A19" s="6" t="s">
        <v>54</v>
      </c>
      <c r="B19" s="6" t="s">
        <v>37</v>
      </c>
      <c r="C19" s="6" t="s">
        <v>41</v>
      </c>
      <c r="D19" s="16" t="s">
        <v>109</v>
      </c>
      <c r="E19" s="6" t="s">
        <v>54</v>
      </c>
      <c r="F19" s="7"/>
      <c r="G19" s="7"/>
    </row>
    <row r="20" spans="1:7" ht="28.8" x14ac:dyDescent="0.3">
      <c r="A20" s="7" t="s">
        <v>56</v>
      </c>
      <c r="B20" s="10">
        <v>2E-3</v>
      </c>
      <c r="C20" s="10">
        <v>2.5999999999999999E-2</v>
      </c>
      <c r="D20" s="13">
        <f>F2-B2</f>
        <v>2.4E-2</v>
      </c>
      <c r="E20" s="7" t="s">
        <v>56</v>
      </c>
      <c r="F20" s="7"/>
      <c r="G20" s="7"/>
    </row>
    <row r="21" spans="1:7" ht="28.8" x14ac:dyDescent="0.3">
      <c r="A21" s="7" t="s">
        <v>57</v>
      </c>
      <c r="B21" s="10">
        <v>1E-3</v>
      </c>
      <c r="C21" s="10">
        <v>8.9999999999999993E-3</v>
      </c>
      <c r="D21" s="13">
        <f>F3-B3</f>
        <v>8.0000000000000002E-3</v>
      </c>
      <c r="E21" s="7" t="s">
        <v>57</v>
      </c>
      <c r="F21" s="7"/>
      <c r="G21" s="7"/>
    </row>
    <row r="22" spans="1:7" ht="28.8" x14ac:dyDescent="0.3">
      <c r="A22" s="7" t="s">
        <v>58</v>
      </c>
      <c r="B22" s="10">
        <v>0.316</v>
      </c>
      <c r="C22" s="10">
        <v>0.57299999999999995</v>
      </c>
      <c r="D22" s="13">
        <f>F4-B4</f>
        <v>0.25699999999999995</v>
      </c>
      <c r="E22" s="7" t="s">
        <v>58</v>
      </c>
      <c r="F22" s="7"/>
      <c r="G22" s="7"/>
    </row>
    <row r="23" spans="1:7" ht="28.8" x14ac:dyDescent="0.3">
      <c r="A23" s="7" t="s">
        <v>59</v>
      </c>
      <c r="B23" s="10">
        <v>3.0000000000000001E-3</v>
      </c>
      <c r="C23" s="10">
        <v>6.0999999999999999E-2</v>
      </c>
      <c r="D23" s="13">
        <f>F5-B5</f>
        <v>5.7999999999999996E-2</v>
      </c>
      <c r="E23" s="7" t="s">
        <v>59</v>
      </c>
      <c r="F23" s="7"/>
      <c r="G23" s="7"/>
    </row>
    <row r="24" spans="1:7" x14ac:dyDescent="0.3">
      <c r="A24" s="7"/>
      <c r="B24" s="7"/>
      <c r="C24" s="7"/>
      <c r="D24" s="13"/>
      <c r="E24" s="7"/>
      <c r="F24" s="7"/>
      <c r="G24" s="7"/>
    </row>
    <row r="25" spans="1:7" x14ac:dyDescent="0.3">
      <c r="A25" s="7"/>
      <c r="B25" s="7"/>
      <c r="D25" s="13"/>
      <c r="E25" s="7"/>
      <c r="F25" s="7"/>
      <c r="G25" s="7"/>
    </row>
    <row r="26" spans="1:7" x14ac:dyDescent="0.3">
      <c r="A26" s="7"/>
      <c r="B26" s="7"/>
      <c r="C26" s="7"/>
      <c r="D26" s="7"/>
      <c r="E26" s="7"/>
    </row>
    <row r="37" spans="7:8" x14ac:dyDescent="0.3">
      <c r="G37" s="7"/>
      <c r="H37" s="7"/>
    </row>
  </sheetData>
  <phoneticPr fontId="6"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showGridLines="0" zoomScale="54" workbookViewId="0">
      <pane ySplit="1" topLeftCell="A2" activePane="bottomLeft" state="frozen"/>
      <selection pane="bottomLeft" activeCell="B35" sqref="B35"/>
    </sheetView>
  </sheetViews>
  <sheetFormatPr defaultRowHeight="14.4" x14ac:dyDescent="0.3"/>
  <cols>
    <col min="1" max="1" width="25" customWidth="1"/>
    <col min="2" max="2" width="18" customWidth="1"/>
    <col min="3" max="3" width="16" customWidth="1"/>
    <col min="4" max="4" width="18" customWidth="1"/>
    <col min="5" max="5" width="16" customWidth="1"/>
    <col min="6" max="6" width="20" customWidth="1"/>
    <col min="7" max="7" width="25" customWidth="1"/>
  </cols>
  <sheetData>
    <row r="1" spans="1:7" ht="28.8" x14ac:dyDescent="0.3">
      <c r="A1" s="6" t="s">
        <v>60</v>
      </c>
      <c r="B1" s="6" t="s">
        <v>118</v>
      </c>
      <c r="C1" s="6" t="s">
        <v>121</v>
      </c>
      <c r="D1" s="6" t="s">
        <v>122</v>
      </c>
      <c r="E1" s="6" t="s">
        <v>123</v>
      </c>
      <c r="F1" s="6"/>
      <c r="G1" s="6"/>
    </row>
    <row r="2" spans="1:7" x14ac:dyDescent="0.3">
      <c r="A2" s="7" t="s">
        <v>61</v>
      </c>
      <c r="B2" s="7">
        <v>1671559</v>
      </c>
      <c r="C2" s="11">
        <f>B2/$B$9</f>
        <v>0.4024524778544587</v>
      </c>
      <c r="D2" s="11">
        <v>0.40600000000000003</v>
      </c>
      <c r="E2" s="11">
        <f>C2-D2</f>
        <v>-3.5475221455413264E-3</v>
      </c>
      <c r="F2" s="12"/>
      <c r="G2" s="7"/>
    </row>
    <row r="3" spans="1:7" x14ac:dyDescent="0.3">
      <c r="A3" s="7" t="s">
        <v>64</v>
      </c>
      <c r="B3" s="7">
        <v>559149</v>
      </c>
      <c r="C3" s="11">
        <f t="shared" ref="C3:C7" si="0">B3/$B$9</f>
        <v>0.13462336689272872</v>
      </c>
      <c r="D3" s="11">
        <v>0.1421</v>
      </c>
      <c r="E3" s="11">
        <f t="shared" ref="E3:E7" si="1">C3-D3</f>
        <v>-7.4766331072712855E-3</v>
      </c>
      <c r="F3" s="12"/>
      <c r="G3" s="7"/>
    </row>
    <row r="4" spans="1:7" x14ac:dyDescent="0.3">
      <c r="A4" s="7" t="s">
        <v>63</v>
      </c>
      <c r="B4" s="7">
        <v>535960</v>
      </c>
      <c r="C4" s="11">
        <f t="shared" si="0"/>
        <v>0.12904027320057243</v>
      </c>
      <c r="D4" s="11">
        <v>0.13619999999999999</v>
      </c>
      <c r="E4" s="11">
        <f t="shared" si="1"/>
        <v>-7.1597267994275571E-3</v>
      </c>
      <c r="F4" s="12"/>
      <c r="G4" s="7"/>
    </row>
    <row r="5" spans="1:7" x14ac:dyDescent="0.3">
      <c r="A5" s="7" t="s">
        <v>62</v>
      </c>
      <c r="B5" s="7">
        <v>512626</v>
      </c>
      <c r="C5" s="11">
        <f t="shared" si="0"/>
        <v>0.12342226862026391</v>
      </c>
      <c r="D5" s="11">
        <v>0.1079</v>
      </c>
      <c r="E5" s="11">
        <f t="shared" si="1"/>
        <v>1.5522268620263915E-2</v>
      </c>
      <c r="F5" s="12"/>
      <c r="G5" s="7"/>
    </row>
    <row r="6" spans="1:7" x14ac:dyDescent="0.3">
      <c r="A6" s="7" t="s">
        <v>65</v>
      </c>
      <c r="B6" s="7">
        <v>275665</v>
      </c>
      <c r="C6" s="11">
        <f t="shared" si="0"/>
        <v>6.6370413672355771E-2</v>
      </c>
      <c r="D6" s="11">
        <v>5.4100000000000002E-2</v>
      </c>
      <c r="E6" s="11">
        <f t="shared" si="1"/>
        <v>1.2270413672355769E-2</v>
      </c>
      <c r="F6" s="12"/>
      <c r="G6" s="7"/>
    </row>
    <row r="7" spans="1:7" x14ac:dyDescent="0.3">
      <c r="A7" s="7" t="s">
        <v>66</v>
      </c>
      <c r="B7" s="7">
        <v>241859</v>
      </c>
      <c r="C7" s="11">
        <f t="shared" si="0"/>
        <v>5.8231120673216751E-2</v>
      </c>
      <c r="D7" s="11">
        <v>5.7099999999999998E-2</v>
      </c>
      <c r="E7" s="11">
        <f t="shared" si="1"/>
        <v>1.1311206732167525E-3</v>
      </c>
      <c r="F7" s="12"/>
      <c r="G7" s="7"/>
    </row>
    <row r="8" spans="1:7" x14ac:dyDescent="0.3">
      <c r="A8" s="21" t="s">
        <v>120</v>
      </c>
      <c r="B8" s="21">
        <f>SUM(B2:B7)</f>
        <v>3796818</v>
      </c>
      <c r="C8" s="11"/>
    </row>
    <row r="9" spans="1:7" x14ac:dyDescent="0.3">
      <c r="A9" s="21" t="s">
        <v>119</v>
      </c>
      <c r="B9" s="21">
        <v>4153432</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80DE4-4E1A-4AD0-82FA-FAF81A7D00E1}">
  <dimension ref="A1:D11"/>
  <sheetViews>
    <sheetView zoomScale="55" workbookViewId="0">
      <selection activeCell="B2" sqref="B2"/>
    </sheetView>
  </sheetViews>
  <sheetFormatPr defaultRowHeight="14.4" x14ac:dyDescent="0.3"/>
  <cols>
    <col min="1" max="1" width="12.77734375" bestFit="1" customWidth="1"/>
    <col min="2" max="2" width="70.88671875" bestFit="1" customWidth="1"/>
    <col min="3" max="3" width="221.21875" bestFit="1" customWidth="1"/>
    <col min="4" max="4" width="58.88671875" bestFit="1" customWidth="1"/>
  </cols>
  <sheetData>
    <row r="1" spans="1:4" ht="14.4" customHeight="1" x14ac:dyDescent="0.3">
      <c r="A1" t="s">
        <v>124</v>
      </c>
      <c r="B1" t="s">
        <v>125</v>
      </c>
      <c r="C1" t="s">
        <v>126</v>
      </c>
      <c r="D1" t="s">
        <v>127</v>
      </c>
    </row>
    <row r="2" spans="1:4" x14ac:dyDescent="0.3">
      <c r="A2" t="s">
        <v>128</v>
      </c>
      <c r="B2" t="s">
        <v>134</v>
      </c>
      <c r="C2" t="s">
        <v>135</v>
      </c>
      <c r="D2" t="s">
        <v>136</v>
      </c>
    </row>
    <row r="3" spans="1:4" x14ac:dyDescent="0.3">
      <c r="A3" t="s">
        <v>129</v>
      </c>
      <c r="B3" t="s">
        <v>137</v>
      </c>
      <c r="C3" t="s">
        <v>138</v>
      </c>
      <c r="D3" t="s">
        <v>139</v>
      </c>
    </row>
    <row r="4" spans="1:4" x14ac:dyDescent="0.3">
      <c r="A4" t="s">
        <v>130</v>
      </c>
      <c r="B4" t="s">
        <v>140</v>
      </c>
      <c r="C4" t="s">
        <v>141</v>
      </c>
      <c r="D4" t="s">
        <v>142</v>
      </c>
    </row>
    <row r="5" spans="1:4" x14ac:dyDescent="0.3">
      <c r="A5" t="s">
        <v>131</v>
      </c>
      <c r="B5" t="s">
        <v>143</v>
      </c>
      <c r="C5" t="s">
        <v>144</v>
      </c>
      <c r="D5" t="s">
        <v>145</v>
      </c>
    </row>
    <row r="6" spans="1:4" x14ac:dyDescent="0.3">
      <c r="A6" t="s">
        <v>132</v>
      </c>
      <c r="B6" t="s">
        <v>146</v>
      </c>
      <c r="C6" t="s">
        <v>147</v>
      </c>
      <c r="D6" t="s">
        <v>148</v>
      </c>
    </row>
    <row r="7" spans="1:4" x14ac:dyDescent="0.3">
      <c r="A7" t="s">
        <v>133</v>
      </c>
      <c r="B7" t="s">
        <v>149</v>
      </c>
      <c r="C7" t="s">
        <v>150</v>
      </c>
      <c r="D7" t="s">
        <v>151</v>
      </c>
    </row>
    <row r="11" spans="1:4" ht="16.95" customHeigh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showGridLines="0" zoomScale="50" workbookViewId="0">
      <pane ySplit="1" topLeftCell="A2" activePane="bottomLeft" state="frozen"/>
      <selection pane="bottomLeft" activeCell="C7" sqref="C7"/>
    </sheetView>
  </sheetViews>
  <sheetFormatPr defaultRowHeight="14.4" x14ac:dyDescent="0.3"/>
  <cols>
    <col min="1" max="1" width="25" customWidth="1"/>
    <col min="2" max="4" width="55" customWidth="1"/>
  </cols>
  <sheetData>
    <row r="1" spans="1:4" x14ac:dyDescent="0.3">
      <c r="A1" s="6" t="s">
        <v>68</v>
      </c>
      <c r="B1" s="6" t="s">
        <v>69</v>
      </c>
      <c r="C1" s="6" t="s">
        <v>154</v>
      </c>
      <c r="D1" s="6"/>
    </row>
    <row r="2" spans="1:4" ht="28.8" x14ac:dyDescent="0.3">
      <c r="A2" s="7" t="s">
        <v>70</v>
      </c>
      <c r="B2" s="7" t="s">
        <v>71</v>
      </c>
      <c r="C2" s="7" t="s">
        <v>155</v>
      </c>
      <c r="D2" s="7"/>
    </row>
    <row r="3" spans="1:4" x14ac:dyDescent="0.3">
      <c r="A3" s="7" t="s">
        <v>72</v>
      </c>
      <c r="B3" s="7" t="s">
        <v>73</v>
      </c>
      <c r="C3" s="7" t="s">
        <v>156</v>
      </c>
      <c r="D3" s="7"/>
    </row>
    <row r="4" spans="1:4" ht="28.8" x14ac:dyDescent="0.3">
      <c r="A4" s="7" t="s">
        <v>152</v>
      </c>
      <c r="B4" s="7" t="s">
        <v>74</v>
      </c>
      <c r="C4" s="7" t="s">
        <v>157</v>
      </c>
      <c r="D4" s="7"/>
    </row>
    <row r="5" spans="1:4" ht="28.8" x14ac:dyDescent="0.3">
      <c r="A5" s="7" t="s">
        <v>153</v>
      </c>
      <c r="B5" s="7" t="s">
        <v>75</v>
      </c>
      <c r="C5" s="7" t="s">
        <v>158</v>
      </c>
      <c r="D5" s="7"/>
    </row>
    <row r="6" spans="1:4" ht="28.8" x14ac:dyDescent="0.3">
      <c r="A6" s="7" t="s">
        <v>76</v>
      </c>
      <c r="B6" s="7" t="s">
        <v>77</v>
      </c>
      <c r="C6" s="7" t="s">
        <v>159</v>
      </c>
      <c r="D6"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EEDA-CF08-4481-A000-090E078E18D8}">
  <dimension ref="A1:B7"/>
  <sheetViews>
    <sheetView workbookViewId="0">
      <selection activeCell="B7" sqref="B7"/>
    </sheetView>
  </sheetViews>
  <sheetFormatPr defaultRowHeight="14.4" x14ac:dyDescent="0.3"/>
  <cols>
    <col min="1" max="1" width="30.33203125" bestFit="1" customWidth="1"/>
    <col min="2" max="2" width="130.6640625" bestFit="1" customWidth="1"/>
  </cols>
  <sheetData>
    <row r="1" spans="1:2" x14ac:dyDescent="0.3">
      <c r="A1" s="22" t="s">
        <v>160</v>
      </c>
      <c r="B1" s="22" t="s">
        <v>161</v>
      </c>
    </row>
    <row r="2" spans="1:2" x14ac:dyDescent="0.3">
      <c r="A2" t="s">
        <v>162</v>
      </c>
      <c r="B2" t="s">
        <v>168</v>
      </c>
    </row>
    <row r="3" spans="1:2" x14ac:dyDescent="0.3">
      <c r="A3" t="s">
        <v>163</v>
      </c>
      <c r="B3" t="s">
        <v>169</v>
      </c>
    </row>
    <row r="4" spans="1:2" x14ac:dyDescent="0.3">
      <c r="A4" t="s">
        <v>164</v>
      </c>
      <c r="B4" t="s">
        <v>170</v>
      </c>
    </row>
    <row r="5" spans="1:2" x14ac:dyDescent="0.3">
      <c r="A5" t="s">
        <v>165</v>
      </c>
      <c r="B5" t="s">
        <v>171</v>
      </c>
    </row>
    <row r="6" spans="1:2" x14ac:dyDescent="0.3">
      <c r="A6" t="s">
        <v>166</v>
      </c>
      <c r="B6" t="s">
        <v>172</v>
      </c>
    </row>
    <row r="7" spans="1:2" x14ac:dyDescent="0.3">
      <c r="A7" t="s">
        <v>167</v>
      </c>
      <c r="B7" t="s">
        <v>173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BAA9D-3BF1-4F1F-AF7B-C42744D9CA37}">
  <dimension ref="A1:D68"/>
  <sheetViews>
    <sheetView topLeftCell="A60" zoomScale="57" workbookViewId="0">
      <selection activeCell="A67" sqref="A67"/>
    </sheetView>
  </sheetViews>
  <sheetFormatPr defaultRowHeight="14.4" x14ac:dyDescent="0.3"/>
  <cols>
    <col min="1" max="1" width="45" customWidth="1"/>
    <col min="2" max="2" width="16.109375" bestFit="1" customWidth="1"/>
    <col min="3" max="3" width="30.109375" bestFit="1" customWidth="1"/>
    <col min="4" max="4" width="26.6640625" bestFit="1" customWidth="1"/>
  </cols>
  <sheetData>
    <row r="1" spans="1:4" ht="42" customHeight="1" x14ac:dyDescent="0.3">
      <c r="A1" s="23" t="s">
        <v>174</v>
      </c>
    </row>
    <row r="4" spans="1:4" x14ac:dyDescent="0.3">
      <c r="A4" t="s">
        <v>175</v>
      </c>
      <c r="B4" t="s">
        <v>176</v>
      </c>
      <c r="C4" t="s">
        <v>177</v>
      </c>
      <c r="D4" t="s">
        <v>178</v>
      </c>
    </row>
    <row r="65" spans="1:1" x14ac:dyDescent="0.3">
      <c r="A65" t="s">
        <v>179</v>
      </c>
    </row>
    <row r="66" spans="1:1" x14ac:dyDescent="0.3">
      <c r="A66" t="s">
        <v>180</v>
      </c>
    </row>
    <row r="67" spans="1:1" x14ac:dyDescent="0.3">
      <c r="A67" t="s">
        <v>182</v>
      </c>
    </row>
    <row r="68" spans="1:1" x14ac:dyDescent="0.3">
      <c r="A68" t="s">
        <v>181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showGridLines="0" tabSelected="1" zoomScale="57" workbookViewId="0">
      <pane ySplit="1" topLeftCell="A2" activePane="bottomLeft" state="frozen"/>
      <selection pane="bottomLeft" activeCell="B4" sqref="B4"/>
    </sheetView>
  </sheetViews>
  <sheetFormatPr defaultRowHeight="14.4" x14ac:dyDescent="0.3"/>
  <cols>
    <col min="1" max="1" width="42" customWidth="1"/>
    <col min="2" max="2" width="50" customWidth="1"/>
    <col min="3" max="3" width="28" customWidth="1"/>
    <col min="4" max="4" width="55" customWidth="1"/>
  </cols>
  <sheetData>
    <row r="1" spans="1:4" x14ac:dyDescent="0.3">
      <c r="A1" s="6" t="s">
        <v>55</v>
      </c>
      <c r="B1" s="6" t="s">
        <v>78</v>
      </c>
      <c r="C1" s="6" t="s">
        <v>79</v>
      </c>
      <c r="D1" s="6" t="s">
        <v>80</v>
      </c>
    </row>
    <row r="2" spans="1:4" x14ac:dyDescent="0.3">
      <c r="A2" s="7" t="s">
        <v>81</v>
      </c>
      <c r="B2" s="7" t="s">
        <v>82</v>
      </c>
      <c r="C2" s="7" t="s">
        <v>83</v>
      </c>
      <c r="D2" s="7" t="s">
        <v>84</v>
      </c>
    </row>
    <row r="3" spans="1:4" x14ac:dyDescent="0.3">
      <c r="A3" s="7" t="s">
        <v>85</v>
      </c>
      <c r="B3" s="7" t="s">
        <v>86</v>
      </c>
      <c r="C3" s="7" t="s">
        <v>83</v>
      </c>
      <c r="D3" s="7" t="s">
        <v>87</v>
      </c>
    </row>
    <row r="4" spans="1:4" x14ac:dyDescent="0.3">
      <c r="A4" s="7" t="s">
        <v>88</v>
      </c>
      <c r="B4" s="7" t="s">
        <v>89</v>
      </c>
      <c r="C4" s="7" t="s">
        <v>90</v>
      </c>
      <c r="D4" s="7" t="s">
        <v>91</v>
      </c>
    </row>
    <row r="5" spans="1:4" x14ac:dyDescent="0.3">
      <c r="A5" s="7" t="s">
        <v>92</v>
      </c>
      <c r="B5" s="7" t="s">
        <v>93</v>
      </c>
      <c r="C5" s="7" t="s">
        <v>67</v>
      </c>
      <c r="D5" s="7" t="s">
        <v>94</v>
      </c>
    </row>
    <row r="6" spans="1:4" ht="28.8" x14ac:dyDescent="0.3">
      <c r="A6" s="7" t="s">
        <v>95</v>
      </c>
      <c r="B6" s="7" t="s">
        <v>96</v>
      </c>
      <c r="C6" s="7" t="s">
        <v>67</v>
      </c>
      <c r="D6" s="7" t="s">
        <v>94</v>
      </c>
    </row>
    <row r="7" spans="1:4" x14ac:dyDescent="0.3">
      <c r="A7" s="7" t="s">
        <v>97</v>
      </c>
      <c r="B7" s="7" t="s">
        <v>98</v>
      </c>
      <c r="C7" s="7" t="s">
        <v>83</v>
      </c>
      <c r="D7" s="7" t="s">
        <v>94</v>
      </c>
    </row>
    <row r="8" spans="1:4" x14ac:dyDescent="0.3">
      <c r="A8" s="7" t="s">
        <v>99</v>
      </c>
      <c r="B8" s="7" t="s">
        <v>98</v>
      </c>
      <c r="C8" s="7" t="s">
        <v>83</v>
      </c>
      <c r="D8" s="7" t="s">
        <v>94</v>
      </c>
    </row>
    <row r="9" spans="1:4" x14ac:dyDescent="0.3">
      <c r="A9" s="7" t="s">
        <v>100</v>
      </c>
      <c r="B9" s="7" t="s">
        <v>101</v>
      </c>
      <c r="C9" s="7" t="s">
        <v>102</v>
      </c>
      <c r="D9" s="7" t="s">
        <v>103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00_Project_Guide</vt:lpstr>
      <vt:lpstr>01_Industry_Data</vt:lpstr>
      <vt:lpstr>02_EV_Transition</vt:lpstr>
      <vt:lpstr>03_PV_Market_Share</vt:lpstr>
      <vt:lpstr>04_PESTLE</vt:lpstr>
      <vt:lpstr>05_Porters_5_Forces</vt:lpstr>
      <vt:lpstr>06_key_finding</vt:lpstr>
      <vt:lpstr>7_dashboard</vt:lpstr>
      <vt:lpstr>08_Sources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Payal Jarwal</cp:lastModifiedBy>
  <dcterms:created xsi:type="dcterms:W3CDTF">2026-09-19T14:35:10Z</dcterms:created>
  <dcterms:modified xsi:type="dcterms:W3CDTF">2026-09-20T08:35:37Z</dcterms:modified>
</cp:coreProperties>
</file>